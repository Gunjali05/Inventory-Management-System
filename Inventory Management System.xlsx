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3a0f3d211f4bfc0/Documents/"/>
    </mc:Choice>
  </mc:AlternateContent>
  <xr:revisionPtr revIDLastSave="1051" documentId="8_{795BAEB3-B552-45C0-A53F-2647CD5F71F4}" xr6:coauthVersionLast="47" xr6:coauthVersionMax="47" xr10:uidLastSave="{237816A9-C916-4F50-8095-95C8566DEF28}"/>
  <bookViews>
    <workbookView xWindow="-108" yWindow="-108" windowWidth="23256" windowHeight="12456" activeTab="8" xr2:uid="{571B5E52-00F2-45AE-84AD-7E1AF7240C6A}"/>
  </bookViews>
  <sheets>
    <sheet name="Dashboard" sheetId="1" r:id="rId1"/>
    <sheet name="Customers" sheetId="2" r:id="rId2"/>
    <sheet name="Vendors" sheetId="4" r:id="rId3"/>
    <sheet name="Products" sheetId="3" r:id="rId4"/>
    <sheet name="New Entry" sheetId="5" r:id="rId5"/>
    <sheet name="Purchase" sheetId="6" r:id="rId6"/>
    <sheet name="Sales" sheetId="7" r:id="rId7"/>
    <sheet name="Inventory" sheetId="8" r:id="rId8"/>
    <sheet name="Pivots" sheetId="9" r:id="rId9"/>
  </sheets>
  <definedNames>
    <definedName name="Cust_ID">Cust_Data[Cust_ID]</definedName>
    <definedName name="hsncode">Product_data[HSN Code]</definedName>
  </definedName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 a="1"/>
  <c r="M12" i="1" s="1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G23" i="7"/>
  <c r="G8" i="7"/>
  <c r="G24" i="7"/>
  <c r="G25" i="7"/>
  <c r="G9" i="7"/>
  <c r="G10" i="7"/>
  <c r="G12" i="7"/>
  <c r="G13" i="7"/>
  <c r="K15" i="7"/>
  <c r="L15" i="7" s="1"/>
  <c r="K16" i="7"/>
  <c r="L16" i="7" s="1"/>
  <c r="G17" i="7"/>
  <c r="K18" i="7"/>
  <c r="L18" i="7" s="1"/>
  <c r="G19" i="7"/>
  <c r="G20" i="7"/>
  <c r="K22" i="7"/>
  <c r="L22" i="7" s="1"/>
  <c r="E23" i="7"/>
  <c r="E24" i="7"/>
  <c r="E25" i="7"/>
  <c r="E10" i="8"/>
  <c r="I8" i="6"/>
  <c r="J8" i="6" s="1"/>
  <c r="I9" i="6"/>
  <c r="I10" i="6"/>
  <c r="I11" i="6"/>
  <c r="I12" i="6"/>
  <c r="I13" i="6"/>
  <c r="I14" i="6"/>
  <c r="I15" i="6"/>
  <c r="I16" i="6"/>
  <c r="I17" i="6"/>
  <c r="J17" i="6" s="1"/>
  <c r="I18" i="6"/>
  <c r="J18" i="6" s="1"/>
  <c r="E8" i="6"/>
  <c r="E9" i="6"/>
  <c r="E10" i="6"/>
  <c r="E11" i="6"/>
  <c r="E12" i="6"/>
  <c r="E13" i="6"/>
  <c r="E14" i="6"/>
  <c r="E15" i="6"/>
  <c r="E16" i="6"/>
  <c r="E17" i="6"/>
  <c r="E18" i="6"/>
  <c r="G14" i="8" s="1"/>
  <c r="D18" i="8"/>
  <c r="F20" i="8"/>
  <c r="F21" i="8"/>
  <c r="F22" i="8"/>
  <c r="F23" i="8"/>
  <c r="F24" i="8"/>
  <c r="F25" i="8"/>
  <c r="F26" i="8"/>
  <c r="F27" i="8"/>
  <c r="F19" i="8"/>
  <c r="E20" i="8"/>
  <c r="E21" i="8"/>
  <c r="E22" i="8"/>
  <c r="E23" i="8"/>
  <c r="E24" i="8"/>
  <c r="E25" i="8"/>
  <c r="E26" i="8"/>
  <c r="E27" i="8"/>
  <c r="E19" i="8"/>
  <c r="E18" i="8"/>
  <c r="F18" i="8"/>
  <c r="D8" i="8"/>
  <c r="D9" i="8"/>
  <c r="D10" i="8"/>
  <c r="D11" i="8"/>
  <c r="D12" i="8"/>
  <c r="D13" i="8"/>
  <c r="D14" i="8"/>
  <c r="D15" i="8"/>
  <c r="D16" i="8"/>
  <c r="D17" i="8"/>
  <c r="D19" i="8"/>
  <c r="D20" i="8"/>
  <c r="D21" i="8"/>
  <c r="D22" i="8"/>
  <c r="D23" i="8"/>
  <c r="D24" i="8"/>
  <c r="D25" i="8"/>
  <c r="D26" i="8"/>
  <c r="D27" i="8"/>
  <c r="E9" i="8"/>
  <c r="F9" i="8"/>
  <c r="F10" i="8"/>
  <c r="E11" i="8"/>
  <c r="F11" i="8"/>
  <c r="E12" i="8"/>
  <c r="F12" i="8"/>
  <c r="E13" i="8"/>
  <c r="F13" i="8"/>
  <c r="E14" i="8"/>
  <c r="F14" i="8"/>
  <c r="E15" i="8"/>
  <c r="F15" i="8"/>
  <c r="E16" i="8"/>
  <c r="F16" i="8"/>
  <c r="E17" i="8"/>
  <c r="F17" i="8"/>
  <c r="E8" i="8"/>
  <c r="F8" i="8"/>
  <c r="K20" i="7"/>
  <c r="L20" i="7" s="1"/>
  <c r="K8" i="7"/>
  <c r="L8" i="7" s="1"/>
  <c r="K9" i="7"/>
  <c r="L9" i="7" s="1"/>
  <c r="K10" i="7"/>
  <c r="L10" i="7" s="1"/>
  <c r="K14" i="7"/>
  <c r="L14" i="7" s="1"/>
  <c r="K21" i="7"/>
  <c r="L21" i="7" s="1"/>
  <c r="G14" i="7"/>
  <c r="G21" i="7"/>
  <c r="G16" i="7"/>
  <c r="G15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J9" i="6"/>
  <c r="J10" i="6"/>
  <c r="J11" i="6"/>
  <c r="J12" i="6"/>
  <c r="J13" i="6"/>
  <c r="F8" i="6"/>
  <c r="F9" i="6"/>
  <c r="F10" i="6"/>
  <c r="F11" i="6"/>
  <c r="F12" i="6"/>
  <c r="F13" i="6"/>
  <c r="F14" i="6"/>
  <c r="F15" i="6"/>
  <c r="F16" i="6"/>
  <c r="F17" i="6"/>
  <c r="F18" i="6"/>
  <c r="J14" i="6"/>
  <c r="J15" i="6"/>
  <c r="J16" i="6"/>
  <c r="C14" i="9"/>
  <c r="C11" i="9"/>
  <c r="C17" i="9"/>
  <c r="C8" i="9"/>
  <c r="C4" i="9"/>
  <c r="C21" i="9" l="1"/>
  <c r="G25" i="8"/>
  <c r="G24" i="8"/>
  <c r="G22" i="8"/>
  <c r="G16" i="8"/>
  <c r="G23" i="8"/>
  <c r="G10" i="8"/>
  <c r="G9" i="8"/>
  <c r="G8" i="8"/>
  <c r="G18" i="8"/>
  <c r="G15" i="8"/>
  <c r="G13" i="8"/>
  <c r="G12" i="8"/>
  <c r="G11" i="8"/>
  <c r="G21" i="8"/>
  <c r="G20" i="8"/>
  <c r="G19" i="8"/>
  <c r="G17" i="8"/>
  <c r="G11" i="7"/>
  <c r="K11" i="7"/>
  <c r="L11" i="7" s="1"/>
  <c r="G18" i="7"/>
  <c r="G22" i="7"/>
  <c r="K13" i="7"/>
  <c r="L13" i="7" s="1"/>
  <c r="K12" i="7"/>
  <c r="L12" i="7" s="1"/>
  <c r="K19" i="7"/>
  <c r="L19" i="7" s="1"/>
  <c r="K17" i="7"/>
  <c r="L17" i="7" s="1"/>
  <c r="K25" i="7"/>
  <c r="L25" i="7" s="1"/>
  <c r="K24" i="7"/>
  <c r="L24" i="7" s="1"/>
  <c r="K23" i="7"/>
  <c r="L23" i="7" s="1"/>
  <c r="H21" i="8" l="1"/>
  <c r="I21" i="8" s="1"/>
  <c r="J21" i="8" s="1"/>
  <c r="H13" i="8"/>
  <c r="I13" i="8" s="1"/>
  <c r="J13" i="8" s="1"/>
  <c r="H10" i="8"/>
  <c r="I10" i="8" s="1"/>
  <c r="J10" i="8" s="1"/>
  <c r="H15" i="8"/>
  <c r="I12" i="7" s="1"/>
  <c r="H23" i="8"/>
  <c r="I23" i="8" s="1"/>
  <c r="J23" i="8" s="1"/>
  <c r="H8" i="8"/>
  <c r="I8" i="8" s="1"/>
  <c r="I18" i="7" s="1"/>
  <c r="H24" i="8"/>
  <c r="I24" i="8" s="1"/>
  <c r="J24" i="8" s="1"/>
  <c r="H18" i="8"/>
  <c r="I18" i="8" s="1"/>
  <c r="J18" i="8" s="1"/>
  <c r="H16" i="8"/>
  <c r="I16" i="8" s="1"/>
  <c r="H9" i="8"/>
  <c r="I9" i="8" s="1"/>
  <c r="H20" i="8"/>
  <c r="I20" i="8" s="1"/>
  <c r="J20" i="8" s="1"/>
  <c r="H25" i="8"/>
  <c r="I25" i="8" s="1"/>
  <c r="J25" i="8" s="1"/>
  <c r="H14" i="8"/>
  <c r="I14" i="8" s="1"/>
  <c r="I17" i="7" s="1"/>
  <c r="H22" i="8"/>
  <c r="I22" i="8" s="1"/>
  <c r="J22" i="8" s="1"/>
  <c r="H19" i="8"/>
  <c r="I19" i="8" s="1"/>
  <c r="J19" i="8" s="1"/>
  <c r="H12" i="8"/>
  <c r="I12" i="8" s="1"/>
  <c r="H17" i="8"/>
  <c r="I17" i="8" s="1"/>
  <c r="J17" i="8" s="1"/>
  <c r="H11" i="8"/>
  <c r="I11" i="8" s="1"/>
  <c r="J16" i="8" l="1"/>
  <c r="I23" i="7"/>
  <c r="I13" i="7"/>
  <c r="I11" i="7"/>
  <c r="I20" i="7"/>
  <c r="I24" i="7"/>
  <c r="J12" i="8"/>
  <c r="I25" i="7"/>
  <c r="J11" i="8"/>
  <c r="J15" i="8"/>
  <c r="I14" i="7"/>
  <c r="J14" i="8"/>
  <c r="I21" i="7"/>
  <c r="J9" i="8"/>
  <c r="I15" i="7"/>
  <c r="I8" i="7"/>
  <c r="I9" i="7"/>
  <c r="I19" i="7"/>
  <c r="I22" i="7"/>
  <c r="J8" i="8"/>
  <c r="I16" i="7"/>
  <c r="I1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<sst xmlns="http://schemas.openxmlformats.org/spreadsheetml/2006/main" count="199" uniqueCount="96">
  <si>
    <t>Cust_ID</t>
  </si>
  <si>
    <t>Name</t>
  </si>
  <si>
    <t>Email</t>
  </si>
  <si>
    <t>Address</t>
  </si>
  <si>
    <t>Ram Sales</t>
  </si>
  <si>
    <t>Atul Ltd.</t>
  </si>
  <si>
    <t>MK Tech.</t>
  </si>
  <si>
    <t>99store</t>
  </si>
  <si>
    <t>Rajesh Kumar</t>
  </si>
  <si>
    <t>Amit</t>
  </si>
  <si>
    <t>Jain Tel.</t>
  </si>
  <si>
    <t>jai@gmail.com</t>
  </si>
  <si>
    <t>ami@gmail.com</t>
  </si>
  <si>
    <t>raj@gmail.com</t>
  </si>
  <si>
    <t>99s@gmail.com</t>
  </si>
  <si>
    <t>mk@gmail.com</t>
  </si>
  <si>
    <t>atu@gmail.com</t>
  </si>
  <si>
    <t>ram@gmail.com</t>
  </si>
  <si>
    <t>121102, Palwal, HR</t>
  </si>
  <si>
    <t>Delhi, India</t>
  </si>
  <si>
    <t>Faridabad, 121101</t>
  </si>
  <si>
    <t>Agra, UP</t>
  </si>
  <si>
    <t>New Delhi, 110010</t>
  </si>
  <si>
    <t>Gurgaon, Sec-15</t>
  </si>
  <si>
    <t>Janpath, New Delhi</t>
  </si>
  <si>
    <t>HSN Code</t>
  </si>
  <si>
    <t>N1001</t>
  </si>
  <si>
    <t>N1002</t>
  </si>
  <si>
    <t>N1003</t>
  </si>
  <si>
    <t>N1004</t>
  </si>
  <si>
    <t>N1005</t>
  </si>
  <si>
    <t>N1006</t>
  </si>
  <si>
    <t>N1007</t>
  </si>
  <si>
    <t>N1008</t>
  </si>
  <si>
    <t>N1009</t>
  </si>
  <si>
    <t>N1010</t>
  </si>
  <si>
    <t>Product Name</t>
  </si>
  <si>
    <t>Smart Watch</t>
  </si>
  <si>
    <t xml:space="preserve">Laptop HP </t>
  </si>
  <si>
    <t>Desktop</t>
  </si>
  <si>
    <t>Mouse</t>
  </si>
  <si>
    <t>Rgb Keyboard</t>
  </si>
  <si>
    <t>Camera</t>
  </si>
  <si>
    <t>Headphones</t>
  </si>
  <si>
    <t>Speakers</t>
  </si>
  <si>
    <t>Tablets</t>
  </si>
  <si>
    <t>Cost</t>
  </si>
  <si>
    <t>Selling Price</t>
  </si>
  <si>
    <t>Wireless Printer</t>
  </si>
  <si>
    <t>Vendor Name</t>
  </si>
  <si>
    <t>Tech99</t>
  </si>
  <si>
    <t>GG Traders</t>
  </si>
  <si>
    <t>Compac</t>
  </si>
  <si>
    <t>9814xxxxxx</t>
  </si>
  <si>
    <t>9812xxxxxx</t>
  </si>
  <si>
    <t>9813xxxxxx</t>
  </si>
  <si>
    <t>Phone</t>
  </si>
  <si>
    <t>Faridabad, 121102</t>
  </si>
  <si>
    <t>Faridabad, 121103</t>
  </si>
  <si>
    <t>Gurgaon, Sec-16</t>
  </si>
  <si>
    <t>Gurgaon, Sec-17</t>
  </si>
  <si>
    <t>Gurgaon, Sec-18</t>
  </si>
  <si>
    <t>New Delhi, 11012</t>
  </si>
  <si>
    <t>New Delhi, 11013</t>
  </si>
  <si>
    <t>New Delhi, 11014</t>
  </si>
  <si>
    <t>Purchase Entry</t>
  </si>
  <si>
    <t>Sale Entry</t>
  </si>
  <si>
    <t>Vendor</t>
  </si>
  <si>
    <t>Date</t>
  </si>
  <si>
    <t>Units</t>
  </si>
  <si>
    <t>Amount</t>
  </si>
  <si>
    <t>Cust_Name</t>
  </si>
  <si>
    <t>Stock(Units)</t>
  </si>
  <si>
    <t>Price</t>
  </si>
  <si>
    <t xml:space="preserve">HSN Code </t>
  </si>
  <si>
    <t xml:space="preserve">Product Name </t>
  </si>
  <si>
    <t>P Units</t>
  </si>
  <si>
    <t>S Units</t>
  </si>
  <si>
    <t>Stock</t>
  </si>
  <si>
    <t>Stock Amount</t>
  </si>
  <si>
    <t>Count of Name</t>
  </si>
  <si>
    <t>Customers</t>
  </si>
  <si>
    <t>Count of Product Name</t>
  </si>
  <si>
    <t>Products</t>
  </si>
  <si>
    <t>Sum of Amount</t>
  </si>
  <si>
    <t>Sum of Stock Amount</t>
  </si>
  <si>
    <t>p &amp; l</t>
  </si>
  <si>
    <t>Purchase Amt</t>
  </si>
  <si>
    <t>Sale Amt</t>
  </si>
  <si>
    <t>Stock Amt</t>
  </si>
  <si>
    <t>Row Labels</t>
  </si>
  <si>
    <t>Grand Total</t>
  </si>
  <si>
    <t>Sum of S Units</t>
  </si>
  <si>
    <t>Notifications!</t>
  </si>
  <si>
    <t>Notifications</t>
  </si>
  <si>
    <t>Sum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</si>
</sst>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2" fillId="2" borderId="0" xfId="1" applyFill="1"/>
    <xf numFmtId="0" fontId="0" fillId="2" borderId="0" xfId="0" applyFill="1" applyAlignment="1">
      <alignment horizontal="left"/>
    </xf>
    <xf numFmtId="0" fontId="1" fillId="2" borderId="2" xfId="0" applyFont="1" applyFill="1" applyBorder="1"/>
    <xf numFmtId="0" fontId="0" fillId="2" borderId="1" xfId="0" applyFill="1" applyBorder="1"/>
    <xf numFmtId="14" fontId="0" fillId="2" borderId="0" xfId="0" applyNumberForma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5" fillId="3" borderId="0" xfId="0" applyFont="1" applyFill="1"/>
    <xf numFmtId="0" fontId="6" fillId="4" borderId="0" xfId="0" applyFont="1" applyFill="1"/>
    <xf numFmtId="0" fontId="7" fillId="3" borderId="0" xfId="0" applyFont="1" applyFill="1"/>
    <xf numFmtId="0" fontId="4" fillId="3" borderId="0" xfId="0" applyFont="1" applyFill="1"/>
  </cellXfs>
  <cellStyles count="2">
    <cellStyle name="Hyperlink" xfId="1" builtinId="8"/>
    <cellStyle name="Normal" xfId="0" builtinId="0"/>
  </cellStyles>
  <dxfs count="48"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numFmt numFmtId="0" formatCode="General"/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</dxf>
    <dxf>
      <fill>
        <patternFill patternType="solid">
          <fgColor indexed="64"/>
          <bgColor theme="2" tint="-0.249977111117893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Products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Pivots!$E$4:$E$10</c:f>
              <c:strCache>
                <c:ptCount val="6"/>
                <c:pt idx="0">
                  <c:v>Rgb Keyboard</c:v>
                </c:pt>
                <c:pt idx="1">
                  <c:v>Camera</c:v>
                </c:pt>
                <c:pt idx="2">
                  <c:v>Smart Watch</c:v>
                </c:pt>
                <c:pt idx="3">
                  <c:v>Mouse</c:v>
                </c:pt>
                <c:pt idx="4">
                  <c:v>Speakers</c:v>
                </c:pt>
                <c:pt idx="5">
                  <c:v>Laptop HP </c:v>
                </c:pt>
              </c:strCache>
            </c:strRef>
          </c:cat>
          <c:val>
            <c:numRef>
              <c:f>Pivots!$F$4:$F$10</c:f>
              <c:numCache>
                <c:formatCode>General</c:formatCode>
                <c:ptCount val="6"/>
                <c:pt idx="0">
                  <c:v>27</c:v>
                </c:pt>
                <c:pt idx="1">
                  <c:v>24</c:v>
                </c:pt>
                <c:pt idx="2">
                  <c:v>18</c:v>
                </c:pt>
                <c:pt idx="3">
                  <c:v>11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5-4E8B-B5F4-8CAA43642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19768239"/>
        <c:axId val="1419769199"/>
      </c:barChart>
      <c:catAx>
        <c:axId val="141976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69199"/>
        <c:crosses val="autoZero"/>
        <c:auto val="1"/>
        <c:lblAlgn val="ctr"/>
        <c:lblOffset val="100"/>
        <c:noMultiLvlLbl val="0"/>
      </c:catAx>
      <c:valAx>
        <c:axId val="141976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68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Pivots!$E$14:$E$19</c:f>
              <c:strCache>
                <c:ptCount val="5"/>
                <c:pt idx="0">
                  <c:v>Atul Ltd.</c:v>
                </c:pt>
                <c:pt idx="1">
                  <c:v>Ram Sales</c:v>
                </c:pt>
                <c:pt idx="2">
                  <c:v>Amit</c:v>
                </c:pt>
                <c:pt idx="3">
                  <c:v>MK Tech.</c:v>
                </c:pt>
                <c:pt idx="4">
                  <c:v>99store</c:v>
                </c:pt>
              </c:strCache>
            </c:strRef>
          </c:cat>
          <c:val>
            <c:numRef>
              <c:f>Pivots!$F$14:$F$19</c:f>
              <c:numCache>
                <c:formatCode>General</c:formatCode>
                <c:ptCount val="5"/>
                <c:pt idx="0">
                  <c:v>700620</c:v>
                </c:pt>
                <c:pt idx="1">
                  <c:v>549600</c:v>
                </c:pt>
                <c:pt idx="2">
                  <c:v>362400</c:v>
                </c:pt>
                <c:pt idx="3">
                  <c:v>124200</c:v>
                </c:pt>
                <c:pt idx="4">
                  <c:v>92208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C-4393-A3BA-1CE54180D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0370783"/>
        <c:axId val="1540376543"/>
      </c:barChart>
      <c:catAx>
        <c:axId val="154037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76543"/>
        <c:crosses val="autoZero"/>
        <c:auto val="1"/>
        <c:lblAlgn val="ctr"/>
        <c:lblOffset val="100"/>
        <c:noMultiLvlLbl val="0"/>
      </c:catAx>
      <c:valAx>
        <c:axId val="154037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37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Management System.xlsx]Pivots!PivotTable8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Available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Pivots!$A$23:$A$33</c:f>
              <c:strCache>
                <c:ptCount val="10"/>
                <c:pt idx="0">
                  <c:v>Camera</c:v>
                </c:pt>
                <c:pt idx="1">
                  <c:v>Desktop</c:v>
                </c:pt>
                <c:pt idx="2">
                  <c:v>Headphones</c:v>
                </c:pt>
                <c:pt idx="3">
                  <c:v>Laptop HP </c:v>
                </c:pt>
                <c:pt idx="4">
                  <c:v>Mouse</c:v>
                </c:pt>
                <c:pt idx="5">
                  <c:v>Rgb Keyboard</c:v>
                </c:pt>
                <c:pt idx="6">
                  <c:v>Smart Watch</c:v>
                </c:pt>
                <c:pt idx="7">
                  <c:v>Speakers</c:v>
                </c:pt>
                <c:pt idx="8">
                  <c:v>Tablets</c:v>
                </c:pt>
                <c:pt idx="9">
                  <c:v>Wireless Printer</c:v>
                </c:pt>
              </c:strCache>
            </c:strRef>
          </c:cat>
          <c:val>
            <c:numRef>
              <c:f>Pivots!$B$23:$B$33</c:f>
              <c:numCache>
                <c:formatCode>General</c:formatCode>
                <c:ptCount val="10"/>
                <c:pt idx="0">
                  <c:v>26</c:v>
                </c:pt>
                <c:pt idx="1">
                  <c:v>206</c:v>
                </c:pt>
                <c:pt idx="2">
                  <c:v>0</c:v>
                </c:pt>
                <c:pt idx="3">
                  <c:v>59</c:v>
                </c:pt>
                <c:pt idx="4">
                  <c:v>46</c:v>
                </c:pt>
                <c:pt idx="5">
                  <c:v>27</c:v>
                </c:pt>
                <c:pt idx="6">
                  <c:v>5</c:v>
                </c:pt>
                <c:pt idx="7">
                  <c:v>85</c:v>
                </c:pt>
                <c:pt idx="8">
                  <c:v>20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0-4113-9931-3CE3DA044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864671"/>
        <c:axId val="1555865151"/>
      </c:barChart>
      <c:catAx>
        <c:axId val="155586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65151"/>
        <c:crosses val="autoZero"/>
        <c:auto val="1"/>
        <c:lblAlgn val="ctr"/>
        <c:lblOffset val="100"/>
        <c:noMultiLvlLbl val="0"/>
      </c:catAx>
      <c:valAx>
        <c:axId val="155586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864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21" Type="http://schemas.openxmlformats.org/officeDocument/2006/relationships/chart" Target="../charts/chart2.xml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20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Relationship Id="rId22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12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11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Purchase!A1"/><Relationship Id="rId13" Type="http://schemas.openxmlformats.org/officeDocument/2006/relationships/image" Target="../media/image4.png"/><Relationship Id="rId18" Type="http://schemas.openxmlformats.org/officeDocument/2006/relationships/image" Target="../media/image9.png"/><Relationship Id="rId3" Type="http://schemas.openxmlformats.org/officeDocument/2006/relationships/hyperlink" Target="#Dashboard!A1"/><Relationship Id="rId7" Type="http://schemas.openxmlformats.org/officeDocument/2006/relationships/hyperlink" Target="#'New Entry'!A1"/><Relationship Id="rId12" Type="http://schemas.openxmlformats.org/officeDocument/2006/relationships/image" Target="../media/image3.svg"/><Relationship Id="rId17" Type="http://schemas.openxmlformats.org/officeDocument/2006/relationships/image" Target="../media/image8.png"/><Relationship Id="rId2" Type="http://schemas.microsoft.com/office/2007/relationships/hdphoto" Target="../media/hdphoto1.wdp"/><Relationship Id="rId16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hyperlink" Target="#Products!A1"/><Relationship Id="rId11" Type="http://schemas.openxmlformats.org/officeDocument/2006/relationships/image" Target="../media/image2.png"/><Relationship Id="rId5" Type="http://schemas.openxmlformats.org/officeDocument/2006/relationships/hyperlink" Target="#Vendors!A1"/><Relationship Id="rId15" Type="http://schemas.openxmlformats.org/officeDocument/2006/relationships/image" Target="../media/image6.png"/><Relationship Id="rId10" Type="http://schemas.openxmlformats.org/officeDocument/2006/relationships/hyperlink" Target="#Inventory!A1"/><Relationship Id="rId19" Type="http://schemas.openxmlformats.org/officeDocument/2006/relationships/image" Target="../media/image10.png"/><Relationship Id="rId4" Type="http://schemas.openxmlformats.org/officeDocument/2006/relationships/hyperlink" Target="#Customers!A1"/><Relationship Id="rId9" Type="http://schemas.openxmlformats.org/officeDocument/2006/relationships/hyperlink" Target="#Sales!A1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E53E24-6C4F-858F-98E0-2AB6A083A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46DD073-63C8-D4B5-1884-22D1075A92D2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5" name="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3CD8695-4B96-A6D9-B255-485EEE8F2AD5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6" name="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03385B1-0693-FE12-3763-277B1FB3DA55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7" name="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A401044-6650-E55F-F37A-BC1B0399B2EF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8" name="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CDD4A6-B2D6-EBA1-D3D4-E6C8146F43F7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F327C9-BA56-B917-F562-3979489C4457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10" name="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EBD2674-9102-2BB9-FA80-6B6726A60837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1" name="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38D44DF-D16F-BA5A-28B1-EF9BC1565E61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2" name="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89CA159-4DEA-FE88-BF15-071BF24BA41F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2</xdr:col>
      <xdr:colOff>175260</xdr:colOff>
      <xdr:row>1</xdr:row>
      <xdr:rowOff>99060</xdr:rowOff>
    </xdr:from>
    <xdr:to>
      <xdr:col>22</xdr:col>
      <xdr:colOff>525780</xdr:colOff>
      <xdr:row>5</xdr:row>
      <xdr:rowOff>38100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30FE75E-4C25-2EB7-95A0-DAB811AE9B9E}"/>
            </a:ext>
          </a:extLst>
        </xdr:cNvPr>
        <xdr:cNvSpPr/>
      </xdr:nvSpPr>
      <xdr:spPr>
        <a:xfrm>
          <a:off x="2026920" y="281940"/>
          <a:ext cx="1254252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Inventory Management</a:t>
          </a:r>
          <a:r>
            <a:rPr lang="en-US" sz="3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System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85899</xdr:rowOff>
    </xdr:to>
    <xdr:pic>
      <xdr:nvPicPr>
        <xdr:cNvPr id="16" name="Graphic 15" descr="User with solid fill">
          <a:extLst>
            <a:ext uri="{FF2B5EF4-FFF2-40B4-BE49-F238E27FC236}">
              <a16:creationId xmlns:a16="http://schemas.microsoft.com/office/drawing/2014/main" id="{EA64112B-A550-E221-FC53-8A6AD79D3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85898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299917-9944-EF1E-8BA0-24A0FC51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123998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FA558FD-A6F2-DB79-751E-7DE8CDBFB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131619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E6054A4-04F4-C747-2F99-276699484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14</xdr:row>
      <xdr:rowOff>166947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9AC811A-9429-154B-ECFB-FE99029C5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20</xdr:row>
      <xdr:rowOff>166947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78C87BD-8E02-8CEF-22DF-6834655F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78278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C6964F5-3DCA-CC9B-C5B6-8EB1367E9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11</xdr:row>
      <xdr:rowOff>100645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9808968-F3AE-FE89-A26F-D1205D7B1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  <xdr:twoCellAnchor editAs="absolute">
    <xdr:from>
      <xdr:col>2</xdr:col>
      <xdr:colOff>236220</xdr:colOff>
      <xdr:row>6</xdr:row>
      <xdr:rowOff>0</xdr:rowOff>
    </xdr:from>
    <xdr:to>
      <xdr:col>5</xdr:col>
      <xdr:colOff>68580</xdr:colOff>
      <xdr:row>9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A900483-BD78-891F-74D0-97560BADE048}"/>
            </a:ext>
          </a:extLst>
        </xdr:cNvPr>
        <xdr:cNvSpPr/>
      </xdr:nvSpPr>
      <xdr:spPr>
        <a:xfrm>
          <a:off x="2087880" y="1097280"/>
          <a:ext cx="1661160" cy="58674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Customers</a:t>
          </a:r>
        </a:p>
      </xdr:txBody>
    </xdr:sp>
    <xdr:clientData/>
  </xdr:twoCellAnchor>
  <xdr:twoCellAnchor editAs="absolute">
    <xdr:from>
      <xdr:col>2</xdr:col>
      <xdr:colOff>190500</xdr:colOff>
      <xdr:row>6</xdr:row>
      <xdr:rowOff>2078</xdr:rowOff>
    </xdr:from>
    <xdr:to>
      <xdr:col>2</xdr:col>
      <xdr:colOff>449580</xdr:colOff>
      <xdr:row>9</xdr:row>
      <xdr:rowOff>37408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9CA2EFA-635B-6B81-4DAE-3437C8B07F48}"/>
            </a:ext>
          </a:extLst>
        </xdr:cNvPr>
        <xdr:cNvSpPr/>
      </xdr:nvSpPr>
      <xdr:spPr>
        <a:xfrm>
          <a:off x="2042160" y="1099358"/>
          <a:ext cx="259080" cy="58397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167640</xdr:colOff>
      <xdr:row>6</xdr:row>
      <xdr:rowOff>0</xdr:rowOff>
    </xdr:from>
    <xdr:to>
      <xdr:col>8</xdr:col>
      <xdr:colOff>114300</xdr:colOff>
      <xdr:row>9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FCABF73-AC23-B704-E5AA-7F5C3C5081BD}"/>
            </a:ext>
          </a:extLst>
        </xdr:cNvPr>
        <xdr:cNvSpPr/>
      </xdr:nvSpPr>
      <xdr:spPr>
        <a:xfrm>
          <a:off x="3848100" y="1097280"/>
          <a:ext cx="1775460" cy="58674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Products</a:t>
          </a:r>
        </a:p>
      </xdr:txBody>
    </xdr:sp>
    <xdr:clientData/>
  </xdr:twoCellAnchor>
  <xdr:twoCellAnchor editAs="absolute">
    <xdr:from>
      <xdr:col>5</xdr:col>
      <xdr:colOff>167640</xdr:colOff>
      <xdr:row>6</xdr:row>
      <xdr:rowOff>7620</xdr:rowOff>
    </xdr:from>
    <xdr:to>
      <xdr:col>5</xdr:col>
      <xdr:colOff>449580</xdr:colOff>
      <xdr:row>9</xdr:row>
      <xdr:rowOff>45720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B56D316-55CD-BC8C-8854-D7CB22861434}"/>
            </a:ext>
          </a:extLst>
        </xdr:cNvPr>
        <xdr:cNvSpPr/>
      </xdr:nvSpPr>
      <xdr:spPr>
        <a:xfrm>
          <a:off x="3848100" y="1104900"/>
          <a:ext cx="281940" cy="58674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243840</xdr:colOff>
      <xdr:row>6</xdr:row>
      <xdr:rowOff>15240</xdr:rowOff>
    </xdr:from>
    <xdr:to>
      <xdr:col>11</xdr:col>
      <xdr:colOff>129540</xdr:colOff>
      <xdr:row>9</xdr:row>
      <xdr:rowOff>53340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574B9E77-57B2-4D40-FD97-4171FDF983AC}"/>
            </a:ext>
          </a:extLst>
        </xdr:cNvPr>
        <xdr:cNvSpPr/>
      </xdr:nvSpPr>
      <xdr:spPr>
        <a:xfrm>
          <a:off x="5753100" y="1112520"/>
          <a:ext cx="1714500" cy="58674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Purchase Amt</a:t>
          </a:r>
        </a:p>
      </xdr:txBody>
    </xdr:sp>
    <xdr:clientData/>
  </xdr:twoCellAnchor>
  <xdr:twoCellAnchor editAs="absolute">
    <xdr:from>
      <xdr:col>8</xdr:col>
      <xdr:colOff>251460</xdr:colOff>
      <xdr:row>6</xdr:row>
      <xdr:rowOff>8312</xdr:rowOff>
    </xdr:from>
    <xdr:to>
      <xdr:col>8</xdr:col>
      <xdr:colOff>510540</xdr:colOff>
      <xdr:row>9</xdr:row>
      <xdr:rowOff>46412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303558A-2E7B-25CE-539E-D3A3BD8C9527}"/>
            </a:ext>
          </a:extLst>
        </xdr:cNvPr>
        <xdr:cNvSpPr/>
      </xdr:nvSpPr>
      <xdr:spPr>
        <a:xfrm>
          <a:off x="5760720" y="1105592"/>
          <a:ext cx="259080" cy="5867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11</xdr:col>
      <xdr:colOff>335280</xdr:colOff>
      <xdr:row>6</xdr:row>
      <xdr:rowOff>30480</xdr:rowOff>
    </xdr:from>
    <xdr:to>
      <xdr:col>14</xdr:col>
      <xdr:colOff>510540</xdr:colOff>
      <xdr:row>9</xdr:row>
      <xdr:rowOff>68580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F0EC4699-11F8-84C3-4691-793DD552DA2F}"/>
            </a:ext>
          </a:extLst>
        </xdr:cNvPr>
        <xdr:cNvSpPr/>
      </xdr:nvSpPr>
      <xdr:spPr>
        <a:xfrm>
          <a:off x="7673340" y="1127760"/>
          <a:ext cx="2004060" cy="58674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n-US" sz="1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Sales Amt</a:t>
          </a:r>
          <a:endParaRPr lang="en-US" sz="16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11</xdr:col>
      <xdr:colOff>342900</xdr:colOff>
      <xdr:row>6</xdr:row>
      <xdr:rowOff>38100</xdr:rowOff>
    </xdr:from>
    <xdr:to>
      <xdr:col>11</xdr:col>
      <xdr:colOff>601980</xdr:colOff>
      <xdr:row>9</xdr:row>
      <xdr:rowOff>76200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D4A8029-3944-AD1F-6652-B74810EEBF99}"/>
            </a:ext>
          </a:extLst>
        </xdr:cNvPr>
        <xdr:cNvSpPr/>
      </xdr:nvSpPr>
      <xdr:spPr>
        <a:xfrm>
          <a:off x="7680960" y="1135380"/>
          <a:ext cx="259080" cy="58674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15</xdr:col>
      <xdr:colOff>152400</xdr:colOff>
      <xdr:row>6</xdr:row>
      <xdr:rowOff>30480</xdr:rowOff>
    </xdr:from>
    <xdr:to>
      <xdr:col>18</xdr:col>
      <xdr:colOff>441960</xdr:colOff>
      <xdr:row>9</xdr:row>
      <xdr:rowOff>68580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5D54A145-0077-2AC0-9BC2-A139C799EBF6}"/>
            </a:ext>
          </a:extLst>
        </xdr:cNvPr>
        <xdr:cNvSpPr/>
      </xdr:nvSpPr>
      <xdr:spPr>
        <a:xfrm>
          <a:off x="9928860" y="1127760"/>
          <a:ext cx="2118360" cy="58674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Profit &amp;</a:t>
          </a:r>
          <a:r>
            <a:rPr lang="en-US" sz="1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Loss</a:t>
          </a:r>
          <a:endParaRPr lang="en-US" sz="16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15</xdr:col>
      <xdr:colOff>160020</xdr:colOff>
      <xdr:row>6</xdr:row>
      <xdr:rowOff>22860</xdr:rowOff>
    </xdr:from>
    <xdr:to>
      <xdr:col>15</xdr:col>
      <xdr:colOff>419100</xdr:colOff>
      <xdr:row>9</xdr:row>
      <xdr:rowOff>60960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1BB71103-0A9F-6A3E-7EE0-936AA334AE6B}"/>
            </a:ext>
          </a:extLst>
        </xdr:cNvPr>
        <xdr:cNvSpPr/>
      </xdr:nvSpPr>
      <xdr:spPr>
        <a:xfrm>
          <a:off x="9936480" y="1120140"/>
          <a:ext cx="259080" cy="58674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19</xdr:col>
      <xdr:colOff>137160</xdr:colOff>
      <xdr:row>6</xdr:row>
      <xdr:rowOff>22860</xdr:rowOff>
    </xdr:from>
    <xdr:to>
      <xdr:col>22</xdr:col>
      <xdr:colOff>449580</xdr:colOff>
      <xdr:row>9</xdr:row>
      <xdr:rowOff>60960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1BC50D3A-8477-72A6-0D07-9D05FEC78ADA}"/>
            </a:ext>
          </a:extLst>
        </xdr:cNvPr>
        <xdr:cNvSpPr/>
      </xdr:nvSpPr>
      <xdr:spPr>
        <a:xfrm>
          <a:off x="12352020" y="1120140"/>
          <a:ext cx="2141220" cy="58674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lang="en-US" sz="16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Stock</a:t>
          </a:r>
          <a:r>
            <a:rPr lang="en-US" sz="1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Amt</a:t>
          </a:r>
          <a:endParaRPr lang="en-US" sz="16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19</xdr:col>
      <xdr:colOff>144780</xdr:colOff>
      <xdr:row>6</xdr:row>
      <xdr:rowOff>15240</xdr:rowOff>
    </xdr:from>
    <xdr:to>
      <xdr:col>19</xdr:col>
      <xdr:colOff>403860</xdr:colOff>
      <xdr:row>9</xdr:row>
      <xdr:rowOff>53340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E138D19-50C3-C402-77E2-7719DC642D90}"/>
            </a:ext>
          </a:extLst>
        </xdr:cNvPr>
        <xdr:cNvSpPr/>
      </xdr:nvSpPr>
      <xdr:spPr>
        <a:xfrm>
          <a:off x="12359640" y="1112520"/>
          <a:ext cx="259080" cy="58674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endParaRPr lang="en-US"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3</xdr:col>
      <xdr:colOff>121920</xdr:colOff>
      <xdr:row>7</xdr:row>
      <xdr:rowOff>83820</xdr:rowOff>
    </xdr:from>
    <xdr:to>
      <xdr:col>5</xdr:col>
      <xdr:colOff>68580</xdr:colOff>
      <xdr:row>9</xdr:row>
      <xdr:rowOff>0</xdr:rowOff>
    </xdr:to>
    <xdr:sp macro="" textlink="Pivots!C4">
      <xdr:nvSpPr>
        <xdr:cNvPr id="59" name="Rectangle 58">
          <a:extLst>
            <a:ext uri="{FF2B5EF4-FFF2-40B4-BE49-F238E27FC236}">
              <a16:creationId xmlns:a16="http://schemas.microsoft.com/office/drawing/2014/main" id="{E823FE94-7627-5CCA-FE9B-B91668032AB8}"/>
            </a:ext>
          </a:extLst>
        </xdr:cNvPr>
        <xdr:cNvSpPr/>
      </xdr:nvSpPr>
      <xdr:spPr>
        <a:xfrm>
          <a:off x="2583180" y="1363980"/>
          <a:ext cx="1165860" cy="281940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fld id="{69D6160D-9BA5-4BBA-A722-C23658C14074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t>7</a:t>
          </a:fld>
          <a:endParaRPr lang="en-US" sz="4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5</xdr:col>
      <xdr:colOff>601980</xdr:colOff>
      <xdr:row>7</xdr:row>
      <xdr:rowOff>106680</xdr:rowOff>
    </xdr:from>
    <xdr:to>
      <xdr:col>7</xdr:col>
      <xdr:colOff>548640</xdr:colOff>
      <xdr:row>9</xdr:row>
      <xdr:rowOff>22860</xdr:rowOff>
    </xdr:to>
    <xdr:sp macro="" textlink="Pivots!C8">
      <xdr:nvSpPr>
        <xdr:cNvPr id="60" name="Rectangle 59">
          <a:extLst>
            <a:ext uri="{FF2B5EF4-FFF2-40B4-BE49-F238E27FC236}">
              <a16:creationId xmlns:a16="http://schemas.microsoft.com/office/drawing/2014/main" id="{A94CDFC8-BC74-1CEB-92A0-32AC888BC299}"/>
            </a:ext>
          </a:extLst>
        </xdr:cNvPr>
        <xdr:cNvSpPr/>
      </xdr:nvSpPr>
      <xdr:spPr>
        <a:xfrm>
          <a:off x="4282440" y="1386840"/>
          <a:ext cx="1165860" cy="281940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fld id="{E72BFB2C-82E0-4A28-A338-2296361B8999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t>10</a:t>
          </a:fld>
          <a:endParaRPr lang="en-US" sz="4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563880</xdr:colOff>
      <xdr:row>7</xdr:row>
      <xdr:rowOff>122613</xdr:rowOff>
    </xdr:from>
    <xdr:to>
      <xdr:col>10</xdr:col>
      <xdr:colOff>510540</xdr:colOff>
      <xdr:row>9</xdr:row>
      <xdr:rowOff>38793</xdr:rowOff>
    </xdr:to>
    <xdr:sp macro="" textlink="Pivots!C11">
      <xdr:nvSpPr>
        <xdr:cNvPr id="61" name="Rectangle 60">
          <a:extLst>
            <a:ext uri="{FF2B5EF4-FFF2-40B4-BE49-F238E27FC236}">
              <a16:creationId xmlns:a16="http://schemas.microsoft.com/office/drawing/2014/main" id="{447F436E-6483-DFDF-4A9B-6C78108B0057}"/>
            </a:ext>
          </a:extLst>
        </xdr:cNvPr>
        <xdr:cNvSpPr/>
      </xdr:nvSpPr>
      <xdr:spPr>
        <a:xfrm>
          <a:off x="6073140" y="1402773"/>
          <a:ext cx="1165860" cy="281940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fld id="{ABDBE3B9-88B4-479E-8A2E-E3F06AD02433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t>₹ 9,846,600</a:t>
          </a:fld>
          <a:endParaRPr lang="en-US" sz="4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12</xdr:col>
      <xdr:colOff>228600</xdr:colOff>
      <xdr:row>7</xdr:row>
      <xdr:rowOff>144780</xdr:rowOff>
    </xdr:from>
    <xdr:to>
      <xdr:col>14</xdr:col>
      <xdr:colOff>274320</xdr:colOff>
      <xdr:row>9</xdr:row>
      <xdr:rowOff>60960</xdr:rowOff>
    </xdr:to>
    <xdr:sp macro="" textlink="Pivots!C14">
      <xdr:nvSpPr>
        <xdr:cNvPr id="62" name="Rectangle 61">
          <a:extLst>
            <a:ext uri="{FF2B5EF4-FFF2-40B4-BE49-F238E27FC236}">
              <a16:creationId xmlns:a16="http://schemas.microsoft.com/office/drawing/2014/main" id="{F9A41158-6F62-9218-AC9D-69B81C80A113}"/>
            </a:ext>
          </a:extLst>
        </xdr:cNvPr>
        <xdr:cNvSpPr/>
      </xdr:nvSpPr>
      <xdr:spPr>
        <a:xfrm>
          <a:off x="8176260" y="1424940"/>
          <a:ext cx="1264920" cy="281940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fld id="{326E4536-BE9A-4EAC-B31E-B8B99F302961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t>₹ 1,844,244</a:t>
          </a:fld>
          <a:endParaRPr lang="en-US" sz="4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16</xdr:col>
      <xdr:colOff>45720</xdr:colOff>
      <xdr:row>7</xdr:row>
      <xdr:rowOff>91440</xdr:rowOff>
    </xdr:from>
    <xdr:to>
      <xdr:col>17</xdr:col>
      <xdr:colOff>601980</xdr:colOff>
      <xdr:row>9</xdr:row>
      <xdr:rowOff>7620</xdr:rowOff>
    </xdr:to>
    <xdr:sp macro="" textlink="Pivots!C21">
      <xdr:nvSpPr>
        <xdr:cNvPr id="63" name="Rectangle 62">
          <a:extLst>
            <a:ext uri="{FF2B5EF4-FFF2-40B4-BE49-F238E27FC236}">
              <a16:creationId xmlns:a16="http://schemas.microsoft.com/office/drawing/2014/main" id="{B111638B-A2D5-6C8D-DB4D-1E60A3C75C58}"/>
            </a:ext>
          </a:extLst>
        </xdr:cNvPr>
        <xdr:cNvSpPr/>
      </xdr:nvSpPr>
      <xdr:spPr>
        <a:xfrm>
          <a:off x="10431780" y="1371600"/>
          <a:ext cx="1165860" cy="281940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fld id="{93AED826-8F68-4118-B165-16290675A818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t>₹ 307,374</a:t>
          </a:fld>
          <a:endParaRPr lang="en-US" sz="4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19</xdr:col>
      <xdr:colOff>594360</xdr:colOff>
      <xdr:row>7</xdr:row>
      <xdr:rowOff>144780</xdr:rowOff>
    </xdr:from>
    <xdr:to>
      <xdr:col>21</xdr:col>
      <xdr:colOff>586740</xdr:colOff>
      <xdr:row>9</xdr:row>
      <xdr:rowOff>60960</xdr:rowOff>
    </xdr:to>
    <xdr:sp macro="" textlink="Pivots!C17">
      <xdr:nvSpPr>
        <xdr:cNvPr id="64" name="Rectangle 63">
          <a:extLst>
            <a:ext uri="{FF2B5EF4-FFF2-40B4-BE49-F238E27FC236}">
              <a16:creationId xmlns:a16="http://schemas.microsoft.com/office/drawing/2014/main" id="{2E32DB52-DD03-355B-C42F-36FABA270A00}"/>
            </a:ext>
          </a:extLst>
        </xdr:cNvPr>
        <xdr:cNvSpPr/>
      </xdr:nvSpPr>
      <xdr:spPr>
        <a:xfrm>
          <a:off x="12809220" y="1424940"/>
          <a:ext cx="1211580" cy="281940"/>
        </a:xfrm>
        <a:prstGeom prst="rect">
          <a:avLst/>
        </a:prstGeom>
        <a:solidFill>
          <a:sysClr val="window" lastClr="FFFFFF"/>
        </a:solidFill>
        <a:ln w="31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fld id="{97ECE2EC-7B11-4B91-9B30-5EC6558F8BC7}" type="TxLink">
            <a:rPr lang="en-US" sz="1600" b="1" i="0" u="none" strike="noStrike">
              <a:solidFill>
                <a:srgbClr val="000000"/>
              </a:solidFill>
              <a:effectLst/>
              <a:latin typeface="Calibri"/>
              <a:ea typeface="Calibri"/>
              <a:cs typeface="Calibri"/>
            </a:rPr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</a:pPr>
            <a:t>₹ 8,309,730</a:t>
          </a:fld>
          <a:endParaRPr lang="en-US" sz="44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182880</xdr:colOff>
      <xdr:row>10</xdr:row>
      <xdr:rowOff>0</xdr:rowOff>
    </xdr:from>
    <xdr:to>
      <xdr:col>6</xdr:col>
      <xdr:colOff>526473</xdr:colOff>
      <xdr:row>19</xdr:row>
      <xdr:rowOff>182880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83A585D-C72D-4268-84F1-C65098B80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0</xdr:colOff>
      <xdr:row>10</xdr:row>
      <xdr:rowOff>692</xdr:rowOff>
    </xdr:from>
    <xdr:to>
      <xdr:col>11</xdr:col>
      <xdr:colOff>571499</xdr:colOff>
      <xdr:row>19</xdr:row>
      <xdr:rowOff>175259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D9D4F00-F133-448D-B432-09FB0717D6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</xdr:col>
      <xdr:colOff>182881</xdr:colOff>
      <xdr:row>20</xdr:row>
      <xdr:rowOff>53340</xdr:rowOff>
    </xdr:from>
    <xdr:to>
      <xdr:col>11</xdr:col>
      <xdr:colOff>568037</xdr:colOff>
      <xdr:row>33</xdr:row>
      <xdr:rowOff>22860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60E9A8F-4C34-4A2E-B647-CC949FD05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061C7-3F2C-4B06-8AFE-721AE483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2FAE76E-B731-4BD6-B512-351FA2A36B45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8B5C4E1-8469-4ED7-9206-964598CFB72D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791858-17F9-4EA1-AFDB-75984BD2158A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A09835-4666-4E2F-8B09-EE10D5B534F6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DF2E350-7820-481A-ADA3-ED67230BAADB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593F422-557A-4365-B9C8-F555460226D2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5B09BD6-404C-4D97-AFC5-47138B1B8EC4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93FB1FB-80CD-484D-A899-A3957F05FE67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99D872B-093A-43B2-B0B0-C35CD801CE2F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2</xdr:col>
      <xdr:colOff>220980</xdr:colOff>
      <xdr:row>1</xdr:row>
      <xdr:rowOff>38100</xdr:rowOff>
    </xdr:from>
    <xdr:to>
      <xdr:col>21</xdr:col>
      <xdr:colOff>167640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710BC8E-5380-4874-9A75-FCA94833A4B9}"/>
            </a:ext>
          </a:extLst>
        </xdr:cNvPr>
        <xdr:cNvSpPr/>
      </xdr:nvSpPr>
      <xdr:spPr>
        <a:xfrm>
          <a:off x="2072640" y="220980"/>
          <a:ext cx="1155192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Customers</a:t>
          </a:r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BBC1A3CE-94AE-4CF6-9008-BE5D2D555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E7CEA90-8860-4227-BF1F-E76D8316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FC948E-58E8-4DF8-B4DE-CBA8C7D5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218FD86-063F-4F42-8DDB-312702C4D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D209CB7-A09F-47D2-95B2-E9E354914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50A57C6-EF45-4323-A725-A12E2A4D6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6C0BE00-B557-48C6-BE45-FAFDAD1AE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55C01AD-6B4E-420E-8407-459E233B2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F3BA9-2B30-420C-8575-C83987C9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687A3F4-F652-4841-B94C-FA4FB10EF254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07EAF43-8911-40E4-B822-1A684070ABAB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BD11668-D786-40D2-8B37-59563A3EBD59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A107A7-E0A6-473F-AC93-CB17F8315065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246D044-94B9-440C-AEF3-CBFFCA81C425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35ED473-8A4D-40D9-82E8-5B0D349F2B05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96F7D7A-CFF5-4EFE-A9F0-BF43D2DAF67F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2627AB9-F7AB-4FFB-851B-189FBB1634E2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A877F03-844D-4910-8468-3861025E3F80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3</xdr:col>
      <xdr:colOff>0</xdr:colOff>
      <xdr:row>1</xdr:row>
      <xdr:rowOff>38100</xdr:rowOff>
    </xdr:from>
    <xdr:to>
      <xdr:col>18</xdr:col>
      <xdr:colOff>419100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E86E140-3C42-4F68-91BC-0D93987ACDBF}"/>
            </a:ext>
          </a:extLst>
        </xdr:cNvPr>
        <xdr:cNvSpPr/>
      </xdr:nvSpPr>
      <xdr:spPr>
        <a:xfrm>
          <a:off x="2072640" y="220980"/>
          <a:ext cx="1202436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Vendors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6E8336A9-91AF-45C0-979D-2051B9756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D7846E2-2650-45E2-8A8C-92A0E689B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2039FEF-F10D-4BD4-9E29-10CC19F61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E59D803-AFF1-49BB-81C3-F5FE9EE6A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F1B4FA-A8AE-401E-8AE8-1973D642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719D0E0-8C53-4422-93EB-8B12DAEB5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B5C4DD6-3B2B-47F5-833F-BE30D1DFC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A497A9D-4E31-40B9-B4FF-EB97B0897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387BB-846D-486F-8E8D-E17E2313C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957852E-C62E-447B-9336-80BA47677EE3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CF08424-6827-4686-B5E1-79AEC09F045A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A8845E7-564A-41F6-8F27-86831A6DBE7C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E5EF57-E2E7-4F00-8402-716E7AE80C11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63DD49F-07DC-4A84-BFE3-78AE99CF39EC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4849042-E868-49B0-9A2D-135D20AE44F9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BFD7D6E-FD30-44D4-AE3C-8699B98EED5B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632CA25-0E36-467D-B7D5-CA7BC3DD1B71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31BFDF6-0C7D-481A-A080-40E5DF8C139B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2</xdr:col>
      <xdr:colOff>220980</xdr:colOff>
      <xdr:row>1</xdr:row>
      <xdr:rowOff>38100</xdr:rowOff>
    </xdr:from>
    <xdr:to>
      <xdr:col>23</xdr:col>
      <xdr:colOff>106680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5902FAE-1D00-49DF-AAF7-6111D29109E0}"/>
            </a:ext>
          </a:extLst>
        </xdr:cNvPr>
        <xdr:cNvSpPr/>
      </xdr:nvSpPr>
      <xdr:spPr>
        <a:xfrm>
          <a:off x="2072640" y="220980"/>
          <a:ext cx="1336548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Products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B0605CBF-44BC-4D61-905B-153C2BE94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1242DB4-0537-4BAB-ADEA-F4B11E57E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232AEE-4E0A-4B39-8DBA-4CDE6FE41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3AECFA-1D9F-4486-9D2F-FCC453BBF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781928B-2DCB-4D44-9DB9-38A83104F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E7D2F1A-06D2-4677-A24B-B74CDB26C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442A4F3-F8AD-4803-B768-E118FAD42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CA37628-853D-4C4D-A718-760B0352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CDC91B-30FB-4E63-A27E-06556C76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D5B3C6C-2C26-43EC-94D2-D6547673AAFD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08AB2DC-549B-45F1-958B-7177DCACB51D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2F70D86-DEDB-4984-980F-2BCFF6C49E24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62AD6F-EAA3-4894-8F19-6D09EB114EB8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5E107B-C3BC-483E-8E90-28BB1E07B1E4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88C11E9-5A19-469F-B227-D9FA2FC0A14F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6AC7B45-B3CB-4D28-817B-DD61FF1D4749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9F691BB-A080-462A-8020-5EE35379FB47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7D81236-93EA-424C-895D-33CD931DC291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2</xdr:col>
      <xdr:colOff>220980</xdr:colOff>
      <xdr:row>1</xdr:row>
      <xdr:rowOff>38100</xdr:rowOff>
    </xdr:from>
    <xdr:to>
      <xdr:col>25</xdr:col>
      <xdr:colOff>548640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324DD7B-19DD-4FFD-9E2B-F7BB40654080}"/>
            </a:ext>
          </a:extLst>
        </xdr:cNvPr>
        <xdr:cNvSpPr/>
      </xdr:nvSpPr>
      <xdr:spPr>
        <a:xfrm>
          <a:off x="2072640" y="220980"/>
          <a:ext cx="1396746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New</a:t>
          </a:r>
          <a:r>
            <a:rPr lang="en-US" sz="3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Entry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201753FC-9F16-4348-8805-112F9DE1F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B730CA-2F59-48E6-82F5-A4B26685E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B5512D-62A6-4EAE-AD3A-692DF456A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DC3483E-B21F-40C8-BC61-25B1B0B16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60A9FB2-BA02-42D5-9887-C5D55E257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F7D60F1-D2AD-4DDA-AF39-236D1DA2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29CC333-329D-4EC5-9F50-785729AD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DEBECB-1DFA-4BA1-9E3D-FCD5324F8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C7251-CB6A-47C3-AB9E-AD0E5E38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8AFC154-9541-42A1-BA9C-15278E1B8345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B432C6-A8DD-45CD-B0DC-07A31E3A873A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D93A91-21A7-412A-A602-1A3446E5C4AA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C3DA2F-3B36-48A7-B413-C4D1EF870294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180110D-834D-4C1E-B3D9-8464C7223F66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29764BC-5805-477B-A704-17D0179680A1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8A74029-B557-4BAA-8A71-3BF9F4229CB6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5945EF0-03C4-475A-AFC2-92813B566E75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C7D43E-6009-4C97-8792-B31B75FABEE6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2</xdr:col>
      <xdr:colOff>220980</xdr:colOff>
      <xdr:row>1</xdr:row>
      <xdr:rowOff>38100</xdr:rowOff>
    </xdr:from>
    <xdr:to>
      <xdr:col>17</xdr:col>
      <xdr:colOff>342900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8C2126-8D74-4F18-8A0F-261A0BB9EFE9}"/>
            </a:ext>
          </a:extLst>
        </xdr:cNvPr>
        <xdr:cNvSpPr/>
      </xdr:nvSpPr>
      <xdr:spPr>
        <a:xfrm>
          <a:off x="2072640" y="220980"/>
          <a:ext cx="1155192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Purchase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6EE97545-C7DB-4AA4-82F5-CCAE0EA4E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6C59D47-C8D7-4648-8374-7F964E366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33A2C83-DB5F-40C6-B4FD-E5C778B26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F0B757-31D7-405F-95FA-7B185EDA6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C2CEED2-1965-4906-AFFB-AF8970CB4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78F6128-F140-4DAF-984B-04BDE4B63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11A8201-DBEE-485B-9E9F-CF12EC01B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BC6BA3-7CA8-421A-B877-4105DC1CA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572E7A-A9C6-41AE-94F3-476305986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E639284-EB6E-4AE4-8830-689EEB2051D7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ED10463-35C9-429D-BAEC-4A71859712D5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2559286-D7FE-4D77-A8D4-F4AE76F67842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CA8BE2-8652-4406-AF63-5DBCDA45C3CB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6B0D38-525B-4A26-9F61-8F900DD695C0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B7F609-9143-4FE9-8E05-BF22243F501B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F5A75387-B4D1-482B-B07D-3824C24C2BD3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A2DC4C2-70E7-43FD-BCFA-4B9640635526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033C7F0-4841-45A0-B9F9-CF8E7BA70A28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3</xdr:col>
      <xdr:colOff>7620</xdr:colOff>
      <xdr:row>1</xdr:row>
      <xdr:rowOff>38100</xdr:rowOff>
    </xdr:from>
    <xdr:to>
      <xdr:col>19</xdr:col>
      <xdr:colOff>312420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4B0BE39-1276-4962-BB04-8726FC7F5B2C}"/>
            </a:ext>
          </a:extLst>
        </xdr:cNvPr>
        <xdr:cNvSpPr/>
      </xdr:nvSpPr>
      <xdr:spPr>
        <a:xfrm>
          <a:off x="2072640" y="220980"/>
          <a:ext cx="1245870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Sales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D51CF853-08C5-416E-8EF5-039BFEF2E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836C58C-11B7-4482-9D53-F1B44B381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C5B54FE-FB51-40F9-9F2B-E3E93C8CD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CED9000-069A-4901-8AB7-DF9E94F6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05EB86C-6C8A-4079-B00D-068B4B9D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EB305C5-1F4C-4D60-BF97-D4DB4D8D5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13DA5E3-6B77-4F8F-9F6C-A0DDA78A5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7CB3D2D-EDE2-46CB-8015-C7ED0226B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388620</xdr:colOff>
      <xdr:row>1</xdr:row>
      <xdr:rowOff>129540</xdr:rowOff>
    </xdr:from>
    <xdr:to>
      <xdr:col>1</xdr:col>
      <xdr:colOff>1021080</xdr:colOff>
      <xdr:row>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D38D0F-6E59-4A48-ADAC-A6316AF0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alphaModFix/>
          <a:biLevel thresh="50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9140" y="312420"/>
          <a:ext cx="632460" cy="632460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5</xdr:row>
      <xdr:rowOff>99060</xdr:rowOff>
    </xdr:from>
    <xdr:to>
      <xdr:col>1</xdr:col>
      <xdr:colOff>1470660</xdr:colOff>
      <xdr:row>7</xdr:row>
      <xdr:rowOff>160020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0F5E419-39D1-4AC3-94DB-698F8B8850D2}"/>
            </a:ext>
          </a:extLst>
        </xdr:cNvPr>
        <xdr:cNvSpPr/>
      </xdr:nvSpPr>
      <xdr:spPr>
        <a:xfrm>
          <a:off x="381000" y="1013460"/>
          <a:ext cx="1440180" cy="4267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00" b="1">
              <a:solidFill>
                <a:schemeClr val="tx1"/>
              </a:solidFill>
            </a:rPr>
            <a:t>Inventory Management</a:t>
          </a:r>
          <a:r>
            <a:rPr lang="en-US" sz="1000" b="1" baseline="0">
              <a:solidFill>
                <a:schemeClr val="tx1"/>
              </a:solidFill>
            </a:rPr>
            <a:t> System</a:t>
          </a:r>
          <a:endParaRPr 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441960</xdr:colOff>
      <xdr:row>10</xdr:row>
      <xdr:rowOff>129540</xdr:rowOff>
    </xdr:from>
    <xdr:to>
      <xdr:col>1</xdr:col>
      <xdr:colOff>1493520</xdr:colOff>
      <xdr:row>12</xdr:row>
      <xdr:rowOff>30480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C3FE34C-A6F3-478F-A91C-024ECA0C33E2}"/>
            </a:ext>
          </a:extLst>
        </xdr:cNvPr>
        <xdr:cNvSpPr/>
      </xdr:nvSpPr>
      <xdr:spPr>
        <a:xfrm>
          <a:off x="792480" y="195834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Dashboard</a:t>
          </a:r>
        </a:p>
      </xdr:txBody>
    </xdr:sp>
    <xdr:clientData/>
  </xdr:twoCellAnchor>
  <xdr:twoCellAnchor>
    <xdr:from>
      <xdr:col>1</xdr:col>
      <xdr:colOff>441960</xdr:colOff>
      <xdr:row>12</xdr:row>
      <xdr:rowOff>43543</xdr:rowOff>
    </xdr:from>
    <xdr:to>
      <xdr:col>1</xdr:col>
      <xdr:colOff>1493520</xdr:colOff>
      <xdr:row>13</xdr:row>
      <xdr:rowOff>127363</xdr:rowOff>
    </xdr:to>
    <xdr:sp macro="" textlink="">
      <xdr:nvSpPr>
        <xdr:cNvPr id="5" name="Rectangle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768514-D384-4005-A269-8231CA54D970}"/>
            </a:ext>
          </a:extLst>
        </xdr:cNvPr>
        <xdr:cNvSpPr/>
      </xdr:nvSpPr>
      <xdr:spPr>
        <a:xfrm>
          <a:off x="792480" y="2238103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441960</xdr:colOff>
      <xdr:row>13</xdr:row>
      <xdr:rowOff>140426</xdr:rowOff>
    </xdr:from>
    <xdr:to>
      <xdr:col>1</xdr:col>
      <xdr:colOff>1493520</xdr:colOff>
      <xdr:row>15</xdr:row>
      <xdr:rowOff>41366</xdr:rowOff>
    </xdr:to>
    <xdr:sp macro="" textlink="">
      <xdr:nvSpPr>
        <xdr:cNvPr id="6" name="Rectangle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57D19C-A629-4CFB-B287-398632A555E4}"/>
            </a:ext>
          </a:extLst>
        </xdr:cNvPr>
        <xdr:cNvSpPr/>
      </xdr:nvSpPr>
      <xdr:spPr>
        <a:xfrm>
          <a:off x="792480" y="2517866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Vendors</a:t>
          </a:r>
        </a:p>
      </xdr:txBody>
    </xdr:sp>
    <xdr:clientData/>
  </xdr:twoCellAnchor>
  <xdr:twoCellAnchor>
    <xdr:from>
      <xdr:col>1</xdr:col>
      <xdr:colOff>441960</xdr:colOff>
      <xdr:row>15</xdr:row>
      <xdr:rowOff>54429</xdr:rowOff>
    </xdr:from>
    <xdr:to>
      <xdr:col>1</xdr:col>
      <xdr:colOff>1493520</xdr:colOff>
      <xdr:row>16</xdr:row>
      <xdr:rowOff>138249</xdr:rowOff>
    </xdr:to>
    <xdr:sp macro="" textlink="">
      <xdr:nvSpPr>
        <xdr:cNvPr id="7" name="Rectangl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1C4A189-CAC5-463E-A820-823E79093ED0}"/>
            </a:ext>
          </a:extLst>
        </xdr:cNvPr>
        <xdr:cNvSpPr/>
      </xdr:nvSpPr>
      <xdr:spPr>
        <a:xfrm>
          <a:off x="792480" y="2797629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Products</a:t>
          </a:r>
        </a:p>
      </xdr:txBody>
    </xdr:sp>
    <xdr:clientData/>
  </xdr:twoCellAnchor>
  <xdr:twoCellAnchor>
    <xdr:from>
      <xdr:col>1</xdr:col>
      <xdr:colOff>441960</xdr:colOff>
      <xdr:row>16</xdr:row>
      <xdr:rowOff>151312</xdr:rowOff>
    </xdr:from>
    <xdr:to>
      <xdr:col>1</xdr:col>
      <xdr:colOff>1493520</xdr:colOff>
      <xdr:row>18</xdr:row>
      <xdr:rowOff>52252</xdr:rowOff>
    </xdr:to>
    <xdr:sp macro="" textlink="">
      <xdr:nvSpPr>
        <xdr:cNvPr id="8" name="Rectangle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8434C3E-FB52-40FA-9491-4A07A5E44332}"/>
            </a:ext>
          </a:extLst>
        </xdr:cNvPr>
        <xdr:cNvSpPr/>
      </xdr:nvSpPr>
      <xdr:spPr>
        <a:xfrm>
          <a:off x="792480" y="3077392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New</a:t>
          </a:r>
          <a:r>
            <a:rPr lang="en-US" sz="10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Entry</a:t>
          </a:r>
        </a:p>
      </xdr:txBody>
    </xdr:sp>
    <xdr:clientData/>
  </xdr:twoCellAnchor>
  <xdr:twoCellAnchor>
    <xdr:from>
      <xdr:col>1</xdr:col>
      <xdr:colOff>441960</xdr:colOff>
      <xdr:row>18</xdr:row>
      <xdr:rowOff>65315</xdr:rowOff>
    </xdr:from>
    <xdr:to>
      <xdr:col>1</xdr:col>
      <xdr:colOff>1493520</xdr:colOff>
      <xdr:row>19</xdr:row>
      <xdr:rowOff>149135</xdr:rowOff>
    </xdr:to>
    <xdr:sp macro="" textlink="">
      <xdr:nvSpPr>
        <xdr:cNvPr id="9" name="Rectangle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DAE6A63-0AEB-478F-B140-F09F6D0897E5}"/>
            </a:ext>
          </a:extLst>
        </xdr:cNvPr>
        <xdr:cNvSpPr/>
      </xdr:nvSpPr>
      <xdr:spPr>
        <a:xfrm>
          <a:off x="792480" y="3357155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Purchase</a:t>
          </a:r>
        </a:p>
      </xdr:txBody>
    </xdr:sp>
    <xdr:clientData/>
  </xdr:twoCellAnchor>
  <xdr:twoCellAnchor>
    <xdr:from>
      <xdr:col>1</xdr:col>
      <xdr:colOff>441960</xdr:colOff>
      <xdr:row>19</xdr:row>
      <xdr:rowOff>162198</xdr:rowOff>
    </xdr:from>
    <xdr:to>
      <xdr:col>1</xdr:col>
      <xdr:colOff>1493520</xdr:colOff>
      <xdr:row>21</xdr:row>
      <xdr:rowOff>63138</xdr:rowOff>
    </xdr:to>
    <xdr:sp macro="" textlink="">
      <xdr:nvSpPr>
        <xdr:cNvPr id="10" name="Rectangle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58F3BA6-9F2C-42F8-A73F-D848556D719D}"/>
            </a:ext>
          </a:extLst>
        </xdr:cNvPr>
        <xdr:cNvSpPr/>
      </xdr:nvSpPr>
      <xdr:spPr>
        <a:xfrm>
          <a:off x="792480" y="3636918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</xdr:col>
      <xdr:colOff>441960</xdr:colOff>
      <xdr:row>21</xdr:row>
      <xdr:rowOff>76200</xdr:rowOff>
    </xdr:from>
    <xdr:to>
      <xdr:col>1</xdr:col>
      <xdr:colOff>1493520</xdr:colOff>
      <xdr:row>22</xdr:row>
      <xdr:rowOff>160020</xdr:rowOff>
    </xdr:to>
    <xdr:sp macro="" textlink="">
      <xdr:nvSpPr>
        <xdr:cNvPr id="11" name="Rectangle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83AD381-71CC-4C83-898B-7E5259312978}"/>
            </a:ext>
          </a:extLst>
        </xdr:cNvPr>
        <xdr:cNvSpPr/>
      </xdr:nvSpPr>
      <xdr:spPr>
        <a:xfrm>
          <a:off x="792480" y="3916680"/>
          <a:ext cx="1051560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Inventory</a:t>
          </a:r>
        </a:p>
      </xdr:txBody>
    </xdr:sp>
    <xdr:clientData/>
  </xdr:twoCellAnchor>
  <xdr:twoCellAnchor editAs="absolute">
    <xdr:from>
      <xdr:col>3</xdr:col>
      <xdr:colOff>7620</xdr:colOff>
      <xdr:row>1</xdr:row>
      <xdr:rowOff>38100</xdr:rowOff>
    </xdr:from>
    <xdr:to>
      <xdr:col>18</xdr:col>
      <xdr:colOff>205740</xdr:colOff>
      <xdr:row>4</xdr:row>
      <xdr:rowOff>160020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369A4B0-E601-4ED0-971E-F3EA9E13391A}"/>
            </a:ext>
          </a:extLst>
        </xdr:cNvPr>
        <xdr:cNvSpPr/>
      </xdr:nvSpPr>
      <xdr:spPr>
        <a:xfrm>
          <a:off x="2072640" y="220980"/>
          <a:ext cx="12016740" cy="670560"/>
        </a:xfrm>
        <a:prstGeom prst="rect">
          <a:avLst/>
        </a:prstGeom>
        <a:solidFill>
          <a:sysClr val="window" lastClr="FFFFFF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32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Inventory</a:t>
          </a:r>
          <a:endParaRPr lang="en-US" sz="32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136960</xdr:colOff>
      <xdr:row>12</xdr:row>
      <xdr:rowOff>68580</xdr:rowOff>
    </xdr:from>
    <xdr:to>
      <xdr:col>1</xdr:col>
      <xdr:colOff>357940</xdr:colOff>
      <xdr:row>13</xdr:row>
      <xdr:rowOff>106680</xdr:rowOff>
    </xdr:to>
    <xdr:pic>
      <xdr:nvPicPr>
        <xdr:cNvPr id="13" name="Graphic 12" descr="User with solid fill">
          <a:extLst>
            <a:ext uri="{FF2B5EF4-FFF2-40B4-BE49-F238E27FC236}">
              <a16:creationId xmlns:a16="http://schemas.microsoft.com/office/drawing/2014/main" id="{B2F6F38F-7E9B-4215-9C20-E76AC0EB3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87480" y="2263140"/>
          <a:ext cx="220980" cy="2209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15</xdr:row>
      <xdr:rowOff>91441</xdr:rowOff>
    </xdr:from>
    <xdr:to>
      <xdr:col>1</xdr:col>
      <xdr:colOff>335079</xdr:colOff>
      <xdr:row>16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336D50-4D91-4AA6-B397-5DBF15AB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834641"/>
          <a:ext cx="198119" cy="19811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21</xdr:row>
      <xdr:rowOff>106681</xdr:rowOff>
    </xdr:from>
    <xdr:to>
      <xdr:col>1</xdr:col>
      <xdr:colOff>357939</xdr:colOff>
      <xdr:row>22</xdr:row>
      <xdr:rowOff>144780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1499976-4128-4662-BD92-66CE7FE0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947161"/>
          <a:ext cx="220979" cy="2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16</xdr:row>
      <xdr:rowOff>152400</xdr:rowOff>
    </xdr:from>
    <xdr:to>
      <xdr:col>1</xdr:col>
      <xdr:colOff>319840</xdr:colOff>
      <xdr:row>17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C15247F-4944-4BFA-91C1-5873D0A01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07848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13</xdr:row>
      <xdr:rowOff>160020</xdr:rowOff>
    </xdr:from>
    <xdr:to>
      <xdr:col>1</xdr:col>
      <xdr:colOff>350320</xdr:colOff>
      <xdr:row>15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F811D05-2609-4882-A328-83907848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537460"/>
          <a:ext cx="213360" cy="21336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19</xdr:row>
      <xdr:rowOff>160021</xdr:rowOff>
    </xdr:from>
    <xdr:to>
      <xdr:col>1</xdr:col>
      <xdr:colOff>350319</xdr:colOff>
      <xdr:row>21</xdr:row>
      <xdr:rowOff>7620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00F6AB0-597A-43BF-9503-5648268D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634741"/>
          <a:ext cx="213359" cy="213359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18</xdr:row>
      <xdr:rowOff>99060</xdr:rowOff>
    </xdr:from>
    <xdr:to>
      <xdr:col>1</xdr:col>
      <xdr:colOff>319840</xdr:colOff>
      <xdr:row>19</xdr:row>
      <xdr:rowOff>99060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9271235-3548-4E2C-9C89-8642F8DB2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3390900"/>
          <a:ext cx="182880" cy="182880"/>
        </a:xfrm>
        <a:prstGeom prst="rect">
          <a:avLst/>
        </a:prstGeom>
      </xdr:spPr>
    </xdr:pic>
    <xdr:clientData/>
  </xdr:twoCellAnchor>
  <xdr:twoCellAnchor editAs="oneCell">
    <xdr:from>
      <xdr:col>1</xdr:col>
      <xdr:colOff>136960</xdr:colOff>
      <xdr:row>10</xdr:row>
      <xdr:rowOff>175060</xdr:rowOff>
    </xdr:from>
    <xdr:to>
      <xdr:col>1</xdr:col>
      <xdr:colOff>365960</xdr:colOff>
      <xdr:row>12</xdr:row>
      <xdr:rowOff>38300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F8D2C08-10F4-46D8-9B88-AA4CB6FE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480" y="2003860"/>
          <a:ext cx="229000" cy="229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JALI REWATKAR" refreshedDate="46200.900479166667" createdVersion="8" refreshedVersion="8" minRefreshableVersion="3" recordCount="18" xr:uid="{6F7B6543-C362-434A-BD6D-BCA669D20CEE}">
  <cacheSource type="worksheet">
    <worksheetSource name="Table6"/>
  </cacheSource>
  <cacheFields count="8">
    <cacheField name="HSN Code " numFmtId="0">
      <sharedItems/>
    </cacheField>
    <cacheField name="Product Name " numFmtId="0">
      <sharedItems count="11">
        <s v="Smart Watch"/>
        <s v="Laptop HP "/>
        <s v="Wireless Printer"/>
        <s v="Desktop"/>
        <s v="Mouse"/>
        <s v="Rgb Keyboard"/>
        <s v="Camera"/>
        <s v="Headphones"/>
        <s v="Speakers"/>
        <s v="Tablets"/>
        <s v=""/>
      </sharedItems>
    </cacheField>
    <cacheField name="Cost" numFmtId="0">
      <sharedItems containsMixedTypes="1" containsNumber="1" containsInteger="1" minValue="200" maxValue="52000"/>
    </cacheField>
    <cacheField name="P Units" numFmtId="0">
      <sharedItems containsSemiMixedTypes="0" containsString="0" containsNumber="1" containsInteger="1" minValue="0" maxValue="210"/>
    </cacheField>
    <cacheField name="S Units" numFmtId="0">
      <sharedItems containsSemiMixedTypes="0" containsString="0" containsNumber="1" containsInteger="1" minValue="0" maxValue="27"/>
    </cacheField>
    <cacheField name="Stock" numFmtId="0">
      <sharedItems containsSemiMixedTypes="0" containsString="0" containsNumber="1" containsInteger="1" minValue="0" maxValue="206"/>
    </cacheField>
    <cacheField name="Stock Amount" numFmtId="0">
      <sharedItems containsMixedTypes="1" containsNumber="1" containsInteger="1" minValue="0" maxValue="4326000"/>
    </cacheField>
    <cacheField name="Notifica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JALI REWATKAR" refreshedDate="46200.900480324075" createdVersion="8" refreshedVersion="8" minRefreshableVersion="3" recordCount="18" xr:uid="{DC1F12AF-E01B-4B05-B800-C7E8DD8AE615}">
  <cacheSource type="worksheet">
    <worksheetSource name="sales_table"/>
  </cacheSource>
  <cacheFields count="9">
    <cacheField name="Cust_ID" numFmtId="0">
      <sharedItems containsString="0" containsBlank="1" containsNumber="1" containsInteger="1" minValue="100" maxValue="106"/>
    </cacheField>
    <cacheField name="Cust_Name" numFmtId="0">
      <sharedItems count="8">
        <s v="Ram Sales"/>
        <s v="99store"/>
        <s v="Rajesh Kumar"/>
        <s v="Atul Ltd."/>
        <s v="MK Tech."/>
        <s v="Jain Tel."/>
        <s v="Amit"/>
        <s v=""/>
      </sharedItems>
    </cacheField>
    <cacheField name="HSN Code" numFmtId="0">
      <sharedItems containsBlank="1"/>
    </cacheField>
    <cacheField name="Product Name" numFmtId="0">
      <sharedItems/>
    </cacheField>
    <cacheField name="Date" numFmtId="0">
      <sharedItems containsNonDate="0" containsDate="1" containsString="0" containsBlank="1" minDate="1900-01-05T00:00:00" maxDate="2026-04-03T00:00:00"/>
    </cacheField>
    <cacheField name="Stock(Units)" numFmtId="0">
      <sharedItems containsMixedTypes="1" containsNumber="1" containsInteger="1" minValue="0" maxValue="206"/>
    </cacheField>
    <cacheField name="Units" numFmtId="0">
      <sharedItems containsString="0" containsBlank="1" containsNumber="1" containsInteger="1" minValue="0" maxValue="25"/>
    </cacheField>
    <cacheField name="Price" numFmtId="0">
      <sharedItems containsMixedTypes="1" containsNumber="1" minValue="240" maxValue="62400"/>
    </cacheField>
    <cacheField name="Amount" numFmtId="0">
      <sharedItems containsMixedTypes="1" containsNumber="1" containsInteger="1" minValue="0" maxValue="686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JALI REWATKAR" refreshedDate="46200.900480787037" createdVersion="8" refreshedVersion="8" minRefreshableVersion="3" recordCount="11" xr:uid="{BB9A46F4-E7C1-431E-8DA2-44C7C4D97EAC}">
  <cacheSource type="worksheet">
    <worksheetSource name="purchase_data"/>
  </cacheSource>
  <cacheFields count="7">
    <cacheField name="HSN Code" numFmtId="0">
      <sharedItems/>
    </cacheField>
    <cacheField name="Product Name" numFmtId="0">
      <sharedItems/>
    </cacheField>
    <cacheField name="Vendor" numFmtId="0">
      <sharedItems/>
    </cacheField>
    <cacheField name="Date" numFmtId="14">
      <sharedItems containsSemiMixedTypes="0" containsNonDate="0" containsDate="1" containsString="0" minDate="2026-01-01T00:00:00" maxDate="2026-03-04T00:00:00"/>
    </cacheField>
    <cacheField name="Units" numFmtId="0">
      <sharedItems containsSemiMixedTypes="0" containsString="0" containsNumber="1" containsInteger="1" minValue="10" maxValue="90"/>
    </cacheField>
    <cacheField name="Cost" numFmtId="0">
      <sharedItems containsSemiMixedTypes="0" containsString="0" containsNumber="1" containsInteger="1" minValue="200" maxValue="52000"/>
    </cacheField>
    <cacheField name="Amount" numFmtId="0">
      <sharedItems containsSemiMixedTypes="0" containsString="0" containsNumber="1" containsInteger="1" minValue="11400" maxValue="26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JALI REWATKAR" refreshedDate="46200.90048113426" createdVersion="8" refreshedVersion="8" minRefreshableVersion="3" recordCount="10" xr:uid="{90597016-1F41-40EB-BF0D-366E83354268}">
  <cacheSource type="worksheet">
    <worksheetSource name="Product_data"/>
  </cacheSource>
  <cacheFields count="4">
    <cacheField name="HSN Code" numFmtId="0">
      <sharedItems/>
    </cacheField>
    <cacheField name="Product Name" numFmtId="0">
      <sharedItems/>
    </cacheField>
    <cacheField name="Cost" numFmtId="0">
      <sharedItems containsSemiMixedTypes="0" containsString="0" containsNumber="1" containsInteger="1" minValue="200" maxValue="52000"/>
    </cacheField>
    <cacheField name="Selling Price" numFmtId="0">
      <sharedItems containsSemiMixedTypes="0" containsString="0" containsNumber="1" minValue="240" maxValue="6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NJALI REWATKAR" refreshedDate="46200.900481828707" createdVersion="8" refreshedVersion="8" minRefreshableVersion="3" recordCount="7" xr:uid="{2A95C564-1C9B-4118-A2BF-3C28D1BC9D34}">
  <cacheSource type="worksheet">
    <worksheetSource name="Cust_Data"/>
  </cacheSource>
  <cacheFields count="4">
    <cacheField name="Cust_ID" numFmtId="0">
      <sharedItems containsSemiMixedTypes="0" containsString="0" containsNumber="1" containsInteger="1" minValue="100" maxValue="106"/>
    </cacheField>
    <cacheField name="Name" numFmtId="0">
      <sharedItems/>
    </cacheField>
    <cacheField name="Email" numFmtId="0">
      <sharedItems/>
    </cacheField>
    <cacheField name="Ad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N1001"/>
    <x v="0"/>
    <n v="980"/>
    <n v="23"/>
    <n v="18"/>
    <n v="5"/>
    <n v="4900"/>
    <s v=""/>
  </r>
  <r>
    <s v="N1002"/>
    <x v="1"/>
    <n v="34500"/>
    <n v="64"/>
    <n v="5"/>
    <n v="59"/>
    <n v="2035500"/>
    <s v=""/>
  </r>
  <r>
    <s v="N1003"/>
    <x v="2"/>
    <n v="4600"/>
    <n v="10"/>
    <n v="0"/>
    <n v="10"/>
    <n v="46000"/>
    <s v=""/>
  </r>
  <r>
    <s v="N1004"/>
    <x v="3"/>
    <n v="21000"/>
    <n v="210"/>
    <n v="4"/>
    <n v="206"/>
    <n v="4326000"/>
    <s v=""/>
  </r>
  <r>
    <s v="N1005"/>
    <x v="4"/>
    <n v="200"/>
    <n v="57"/>
    <n v="11"/>
    <n v="46"/>
    <n v="9200"/>
    <s v=""/>
  </r>
  <r>
    <s v="N1006"/>
    <x v="5"/>
    <n v="340"/>
    <n v="54"/>
    <n v="27"/>
    <n v="27"/>
    <n v="9180"/>
    <s v=""/>
  </r>
  <r>
    <s v="N1007"/>
    <x v="6"/>
    <n v="52000"/>
    <n v="50"/>
    <n v="24"/>
    <n v="26"/>
    <n v="1352000"/>
    <s v=""/>
  </r>
  <r>
    <s v="N1008"/>
    <x v="7"/>
    <n v="799"/>
    <n v="0"/>
    <n v="0"/>
    <n v="0"/>
    <n v="0"/>
    <s v="📞 Headphones Needs to re-order ! PH 9814xxxxxx"/>
  </r>
  <r>
    <s v="N1009"/>
    <x v="8"/>
    <n v="670"/>
    <n v="90"/>
    <n v="5"/>
    <n v="85"/>
    <n v="56950"/>
    <s v=""/>
  </r>
  <r>
    <s v="N1010"/>
    <x v="9"/>
    <n v="23500"/>
    <n v="20"/>
    <n v="0"/>
    <n v="20"/>
    <n v="470000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  <r>
    <s v=""/>
    <x v="10"/>
    <s v=""/>
    <n v="0"/>
    <n v="0"/>
    <n v="0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100"/>
    <x v="0"/>
    <s v="N1004"/>
    <s v="Desktop"/>
    <d v="2026-01-01T00:00:00"/>
    <n v="206"/>
    <n v="2"/>
    <n v="25200"/>
    <n v="50400"/>
  </r>
  <r>
    <n v="103"/>
    <x v="1"/>
    <s v="N1002"/>
    <s v="Laptop HP "/>
    <d v="2026-01-01T00:00:00"/>
    <n v="59"/>
    <n v="2"/>
    <n v="41400"/>
    <n v="82800"/>
  </r>
  <r>
    <n v="104"/>
    <x v="2"/>
    <s v="N1005"/>
    <s v="Mouse"/>
    <d v="2026-01-01T00:00:00"/>
    <n v="46"/>
    <n v="1"/>
    <n v="240"/>
    <n v="240"/>
  </r>
  <r>
    <n v="101"/>
    <x v="3"/>
    <s v="N1006"/>
    <s v="Rgb Keyboard"/>
    <d v="2026-01-02T00:00:00"/>
    <n v="27"/>
    <n v="25"/>
    <n v="408"/>
    <n v="10200"/>
  </r>
  <r>
    <n v="102"/>
    <x v="4"/>
    <s v="N1008"/>
    <s v="Headphones"/>
    <d v="2026-01-02T00:00:00"/>
    <n v="0"/>
    <n v="0"/>
    <n v="958.8"/>
    <n v="0"/>
  </r>
  <r>
    <n v="106"/>
    <x v="5"/>
    <s v="N1006"/>
    <s v="Rgb Keyboard"/>
    <d v="1900-01-05T00:00:00"/>
    <n v="27"/>
    <n v="2"/>
    <n v="408"/>
    <n v="816"/>
  </r>
  <r>
    <n v="100"/>
    <x v="0"/>
    <s v="N1007"/>
    <s v="Camera"/>
    <d v="2026-01-03T00:00:00"/>
    <n v="26"/>
    <n v="8"/>
    <n v="62400"/>
    <n v="499200"/>
  </r>
  <r>
    <n v="105"/>
    <x v="6"/>
    <s v="N1004"/>
    <s v="Desktop"/>
    <d v="2026-02-01T00:00:00"/>
    <n v="206"/>
    <n v="2"/>
    <n v="25200"/>
    <n v="50400"/>
  </r>
  <r>
    <n v="103"/>
    <x v="1"/>
    <s v="N1001"/>
    <s v="Smart Watch"/>
    <d v="2026-02-02T00:00:00"/>
    <n v="5"/>
    <n v="8"/>
    <n v="1176"/>
    <n v="9408"/>
  </r>
  <r>
    <n v="105"/>
    <x v="6"/>
    <s v="N1007"/>
    <s v="Camera"/>
    <d v="2026-02-03T00:00:00"/>
    <n v="26"/>
    <n v="5"/>
    <n v="62400"/>
    <n v="312000"/>
  </r>
  <r>
    <n v="104"/>
    <x v="2"/>
    <s v="N1001"/>
    <s v="Smart Watch"/>
    <d v="2026-03-01T00:00:00"/>
    <n v="5"/>
    <n v="10"/>
    <n v="1176"/>
    <n v="11760"/>
  </r>
  <r>
    <n v="106"/>
    <x v="5"/>
    <s v="N1005"/>
    <s v="Mouse"/>
    <d v="2026-03-02T00:00:00"/>
    <n v="46"/>
    <n v="9"/>
    <n v="240"/>
    <n v="2160"/>
  </r>
  <r>
    <n v="102"/>
    <x v="4"/>
    <s v="N1002"/>
    <s v="Laptop HP "/>
    <d v="2026-03-03T00:00:00"/>
    <n v="59"/>
    <n v="3"/>
    <n v="41400"/>
    <n v="124200"/>
  </r>
  <r>
    <n v="101"/>
    <x v="3"/>
    <s v="N1007"/>
    <s v="Camera"/>
    <d v="2026-03-04T00:00:00"/>
    <n v="26"/>
    <n v="11"/>
    <n v="62400"/>
    <n v="686400"/>
  </r>
  <r>
    <n v="104"/>
    <x v="2"/>
    <s v="N1005"/>
    <s v="Mouse"/>
    <d v="2026-04-01T00:00:00"/>
    <n v="46"/>
    <n v="1"/>
    <n v="240"/>
    <n v="240"/>
  </r>
  <r>
    <n v="101"/>
    <x v="3"/>
    <s v="N1009"/>
    <s v="Speakers"/>
    <d v="2026-04-02T00:00:00"/>
    <n v="85"/>
    <n v="5"/>
    <n v="804"/>
    <n v="4020"/>
  </r>
  <r>
    <m/>
    <x v="7"/>
    <m/>
    <s v=""/>
    <m/>
    <s v=""/>
    <m/>
    <s v=""/>
    <s v=""/>
  </r>
  <r>
    <m/>
    <x v="7"/>
    <m/>
    <s v=""/>
    <m/>
    <s v=""/>
    <m/>
    <s v=""/>
    <s v="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N1003"/>
    <s v="Wireless Printer"/>
    <s v="Tech99"/>
    <d v="2026-01-01T00:00:00"/>
    <n v="10"/>
    <n v="4600"/>
    <n v="46000"/>
  </r>
  <r>
    <s v="N1005"/>
    <s v="Mouse"/>
    <s v="GG Traders"/>
    <d v="2026-01-02T00:00:00"/>
    <n v="57"/>
    <n v="200"/>
    <n v="11400"/>
  </r>
  <r>
    <s v="N1004"/>
    <s v="Desktop"/>
    <s v="GG Traders"/>
    <d v="2026-01-03T00:00:00"/>
    <n v="85"/>
    <n v="21000"/>
    <n v="1785000"/>
  </r>
  <r>
    <s v="N1004"/>
    <s v="Desktop"/>
    <s v="GG Traders"/>
    <d v="2026-01-04T00:00:00"/>
    <n v="47"/>
    <n v="21000"/>
    <n v="987000"/>
  </r>
  <r>
    <s v="N1001"/>
    <s v="Smart Watch"/>
    <s v="Tech99"/>
    <d v="2026-02-02T00:00:00"/>
    <n v="23"/>
    <n v="980"/>
    <n v="22540"/>
  </r>
  <r>
    <s v="N1007"/>
    <s v="Camera"/>
    <s v="GG Traders"/>
    <d v="2026-02-03T00:00:00"/>
    <n v="50"/>
    <n v="52000"/>
    <n v="2600000"/>
  </r>
  <r>
    <s v="N1006"/>
    <s v="Rgb Keyboard"/>
    <s v="GG Traders"/>
    <d v="2026-02-04T00:00:00"/>
    <n v="54"/>
    <n v="340"/>
    <n v="18360"/>
  </r>
  <r>
    <s v="N1002"/>
    <s v="Laptop HP "/>
    <s v="Tech99"/>
    <d v="2026-02-05T00:00:00"/>
    <n v="64"/>
    <n v="34500"/>
    <n v="2208000"/>
  </r>
  <r>
    <s v="N1010"/>
    <s v="Tablets"/>
    <s v="Compac"/>
    <d v="2026-03-01T00:00:00"/>
    <n v="20"/>
    <n v="23500"/>
    <n v="470000"/>
  </r>
  <r>
    <s v="N1004"/>
    <s v="Desktop"/>
    <s v="GG Traders"/>
    <d v="2026-03-02T00:00:00"/>
    <n v="78"/>
    <n v="21000"/>
    <n v="1638000"/>
  </r>
  <r>
    <s v="N1009"/>
    <s v="Speakers"/>
    <s v="Compac"/>
    <d v="2026-03-03T00:00:00"/>
    <n v="90"/>
    <n v="670"/>
    <n v="603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N1001"/>
    <s v="Smart Watch"/>
    <n v="980"/>
    <n v="1176"/>
  </r>
  <r>
    <s v="N1002"/>
    <s v="Laptop HP "/>
    <n v="34500"/>
    <n v="41400"/>
  </r>
  <r>
    <s v="N1003"/>
    <s v="Wireless Printer"/>
    <n v="4600"/>
    <n v="5520"/>
  </r>
  <r>
    <s v="N1004"/>
    <s v="Desktop"/>
    <n v="21000"/>
    <n v="25200"/>
  </r>
  <r>
    <s v="N1005"/>
    <s v="Mouse"/>
    <n v="200"/>
    <n v="240"/>
  </r>
  <r>
    <s v="N1006"/>
    <s v="Rgb Keyboard"/>
    <n v="340"/>
    <n v="408"/>
  </r>
  <r>
    <s v="N1007"/>
    <s v="Camera"/>
    <n v="52000"/>
    <n v="62400"/>
  </r>
  <r>
    <s v="N1008"/>
    <s v="Headphones"/>
    <n v="799"/>
    <n v="958.8"/>
  </r>
  <r>
    <s v="N1009"/>
    <s v="Speakers"/>
    <n v="670"/>
    <n v="804"/>
  </r>
  <r>
    <s v="N1010"/>
    <s v="Tablets"/>
    <n v="23500"/>
    <n v="28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00"/>
    <s v="Ram Sales"/>
    <s v="ram@gmail.com"/>
    <s v="Delhi, India"/>
  </r>
  <r>
    <n v="101"/>
    <s v="Atul Ltd."/>
    <s v="atu@gmail.com"/>
    <s v="121102, Palwal, HR"/>
  </r>
  <r>
    <n v="102"/>
    <s v="MK Tech."/>
    <s v="mk@gmail.com"/>
    <s v="Faridabad, 121101"/>
  </r>
  <r>
    <n v="103"/>
    <s v="99store"/>
    <s v="99s@gmail.com"/>
    <s v="Agra, UP"/>
  </r>
  <r>
    <n v="104"/>
    <s v="Rajesh Kumar"/>
    <s v="raj@gmail.com"/>
    <s v="New Delhi, 110010"/>
  </r>
  <r>
    <n v="105"/>
    <s v="Amit"/>
    <s v="ami@gmail.com"/>
    <s v="Gurgaon, Sec-15"/>
  </r>
  <r>
    <n v="106"/>
    <s v="Jain Tel."/>
    <s v="jai@gmail.com"/>
    <s v="Janpath, New Delh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95F7C-D186-4D23-B3A7-8A30F69822A9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13:F19" firstHeaderRow="1" firstDataRow="1" firstDataCol="1"/>
  <pivotFields count="9">
    <pivotField showAll="0"/>
    <pivotField axis="axisRow" showAll="0" measureFilter="1" sortType="descending">
      <items count="9">
        <item x="7"/>
        <item x="1"/>
        <item x="6"/>
        <item x="3"/>
        <item x="5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3"/>
    </i>
    <i>
      <x v="7"/>
    </i>
    <i>
      <x v="2"/>
    </i>
    <i>
      <x v="5"/>
    </i>
    <i>
      <x v="1"/>
    </i>
    <i t="grand">
      <x/>
    </i>
  </rowItems>
  <colItems count="1">
    <i/>
  </colItems>
  <dataFields count="1">
    <dataField name="Sum of Amount" fld="8" baseField="1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B41C9-3284-454B-A6BF-C3A17D22BE0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7">
    <pivotField showAll="0"/>
    <pivotField showAll="0"/>
    <pivotField showAll="0"/>
    <pivotField numFmtId="14"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E1AD2-0FD2-41AA-B6B5-555173B18DF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E3:F10" firstHeaderRow="1" firstDataRow="1" firstDataCol="1"/>
  <pivotFields count="8">
    <pivotField showAll="0"/>
    <pivotField axis="axisRow" showAll="0" measureFilter="1" sortType="descending">
      <items count="12">
        <item x="10"/>
        <item x="6"/>
        <item x="3"/>
        <item x="7"/>
        <item x="1"/>
        <item x="4"/>
        <item x="5"/>
        <item x="0"/>
        <item x="8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7">
    <i>
      <x v="6"/>
    </i>
    <i>
      <x v="1"/>
    </i>
    <i>
      <x v="7"/>
    </i>
    <i>
      <x v="5"/>
    </i>
    <i>
      <x v="8"/>
    </i>
    <i>
      <x v="4"/>
    </i>
    <i t="grand">
      <x/>
    </i>
  </rowItems>
  <colItems count="1">
    <i/>
  </colItems>
  <dataFields count="1">
    <dataField name="Sum of S Units" fld="4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0F707-859F-4961-A246-4DD14EF1BE13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2:B33" firstHeaderRow="1" firstDataRow="1" firstDataCol="1"/>
  <pivotFields count="8">
    <pivotField showAll="0"/>
    <pivotField axis="axisRow" showAll="0">
      <items count="12">
        <item h="1" x="10"/>
        <item x="6"/>
        <item x="3"/>
        <item x="7"/>
        <item x="1"/>
        <item x="4"/>
        <item x="5"/>
        <item x="0"/>
        <item x="8"/>
        <item x="9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tock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6E5C7-9F77-436C-8639-7B356B361CA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Sum of 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AD33E-C0D5-426E-BA85-1A8BF0D7F80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3B7BD9-7458-48E7-BB22-AD6F04514E1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A8" firstHeaderRow="1" firstDataRow="1" firstDataCol="0"/>
  <pivotFields count="4"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Count of Product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A9FE7-6279-4577-8DCD-D32A982948A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A17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tock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925AA0-2A09-410F-A3E4-4B1BCAD72B72}" name="Cust_Data" displayName="Cust_Data" ref="D7:G14" totalsRowShown="0" headerRowDxfId="47">
  <autoFilter ref="D7:G14" xr:uid="{1E925AA0-2A09-410F-A3E4-4B1BCAD72B72}"/>
  <tableColumns count="4">
    <tableColumn id="1" xr3:uid="{71C7A01E-44EA-4E93-B06B-67C69C1B3B5D}" name="Cust_ID" dataDxfId="46"/>
    <tableColumn id="2" xr3:uid="{793C0E74-CBF5-43FA-AFA4-67C4170239AA}" name="Name" dataDxfId="45"/>
    <tableColumn id="3" xr3:uid="{2B12AC67-4AD9-4387-9A34-B8274C91A0F7}" name="Email" dataDxfId="44" dataCellStyle="Hyperlink"/>
    <tableColumn id="4" xr3:uid="{D887115E-D2D4-48DE-9F77-FA8125CBB058}" name="Address" dataDxfId="4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7F72F5-3FDE-4316-8CE5-64D073503A06}" name="Vendorsd_data" displayName="Vendorsd_data" ref="D7:H17" totalsRowShown="0" headerRowDxfId="42" dataDxfId="41">
  <autoFilter ref="D7:H17" xr:uid="{B07F72F5-3FDE-4316-8CE5-64D073503A06}"/>
  <tableColumns count="5">
    <tableColumn id="1" xr3:uid="{DC54C2FA-BED4-45F3-BCBA-55F3BC5B7C00}" name="HSN Code" dataDxfId="40"/>
    <tableColumn id="2" xr3:uid="{E513C721-FA4A-49CC-A4E5-7851FB54A13C}" name="Product Name" dataDxfId="39"/>
    <tableColumn id="3" xr3:uid="{1BB61EF4-F543-463A-9810-7EBB5A88AD78}" name="Vendor Name" dataDxfId="38"/>
    <tableColumn id="4" xr3:uid="{6F0273CB-3ECC-40E4-841E-10ACD8EC416B}" name="Phone" dataDxfId="37"/>
    <tableColumn id="5" xr3:uid="{5C29BBE6-C119-4A6D-9C85-E70174A1A6A4}" name="Address" dataDxfId="3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F3641A-2DF9-4A54-97DF-0BFE82DBAAAC}" name="Product_data" displayName="Product_data" ref="D7:G17" totalsRowShown="0" headerRowDxfId="35" dataDxfId="34">
  <autoFilter ref="D7:G17" xr:uid="{91F3641A-2DF9-4A54-97DF-0BFE82DBAAAC}"/>
  <tableColumns count="4">
    <tableColumn id="1" xr3:uid="{EACE48DB-9E87-4A94-8C81-CF369BECB299}" name="HSN Code" dataDxfId="33"/>
    <tableColumn id="2" xr3:uid="{1DAE38D6-45B5-471A-A2A7-8B6ED4447B3E}" name="Product Name" dataDxfId="32"/>
    <tableColumn id="3" xr3:uid="{60A9D491-2EB8-4D24-84C7-98CFAE2B7BBC}" name="Cost" dataDxfId="31"/>
    <tableColumn id="4" xr3:uid="{124F308B-7E0D-4999-92A0-853DB253C3B2}" name="Selling Price" dataDxfId="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CC48FB-DBCA-4D79-A7D4-B6F831A86B58}" name="purchase_data" displayName="purchase_data" ref="D7:J18" totalsRowShown="0" headerRowDxfId="29" dataDxfId="28">
  <autoFilter ref="D7:J18" xr:uid="{82CC48FB-DBCA-4D79-A7D4-B6F831A86B58}"/>
  <tableColumns count="7">
    <tableColumn id="1" xr3:uid="{E82B3271-B30C-42E9-804F-C105C5318DDD}" name="HSN Code" dataDxfId="27"/>
    <tableColumn id="2" xr3:uid="{8BBDC9CF-CF7E-4FE5-AD0D-F300357C640A}" name="Product Name" dataDxfId="26">
      <calculatedColumnFormula>IFERROR(VLOOKUP(purchase_data[[#This Row],[HSN Code]],Product_data[#All],2,0),"")</calculatedColumnFormula>
    </tableColumn>
    <tableColumn id="3" xr3:uid="{1682B1F4-34AE-4094-879F-5C500776E5EE}" name="Vendor" dataDxfId="25">
      <calculatedColumnFormula>IFERROR(VLOOKUP(purchase_data[[#This Row],[HSN Code]],Vendorsd_data[#All],3,0),"")</calculatedColumnFormula>
    </tableColumn>
    <tableColumn id="4" xr3:uid="{0AA92B83-CB05-4308-B462-1B522B7F22A7}" name="Date" dataDxfId="24"/>
    <tableColumn id="5" xr3:uid="{200EC55D-AE95-49BC-858D-71FFF8511237}" name="Units" dataDxfId="23"/>
    <tableColumn id="6" xr3:uid="{5D11CC64-713D-409F-8503-E4AE73F5F3EE}" name="Cost" dataDxfId="22">
      <calculatedColumnFormula>IFERROR(VLOOKUP(purchase_data[[#This Row],[HSN Code]],Product_data[#All],3,0),"")</calculatedColumnFormula>
    </tableColumn>
    <tableColumn id="7" xr3:uid="{903151F7-A129-4CD2-96A9-893D388B1870}" name="Amount" dataDxfId="21">
      <calculatedColumnFormula>IFERROR(purchase_data[[#This Row],[Units]]*purchase_data[[#This Row],[Cost]],"")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33FAD2-BEB8-48C2-BF32-0195E6D41368}" name="sales_table" displayName="sales_table" ref="D7:L25" totalsRowShown="0" headerRowDxfId="20" dataDxfId="19">
  <autoFilter ref="D7:L25" xr:uid="{4133FAD2-BEB8-48C2-BF32-0195E6D41368}"/>
  <tableColumns count="9">
    <tableColumn id="1" xr3:uid="{A649115D-EA12-49F1-B869-ED56186230E3}" name="Cust_ID" dataDxfId="18"/>
    <tableColumn id="2" xr3:uid="{6A4FCAEE-8398-4000-AF11-EEEC39F331B8}" name="Cust_Name" dataDxfId="17">
      <calculatedColumnFormula>IFERROR(VLOOKUP(sales_table[[#This Row],[Cust_ID]],Cust_Data[#All],2,0),"")</calculatedColumnFormula>
    </tableColumn>
    <tableColumn id="3" xr3:uid="{4AFE2400-B006-46BB-8B22-991B5C4F5477}" name="HSN Code" dataDxfId="16"/>
    <tableColumn id="4" xr3:uid="{83DE1B7D-E50F-4E0A-91A7-BBC155715324}" name="Product Name" dataDxfId="15">
      <calculatedColumnFormula>IFERROR(VLOOKUP(sales_table[[#This Row],[HSN Code]],Products!D7:G17,2,0),"")</calculatedColumnFormula>
    </tableColumn>
    <tableColumn id="5" xr3:uid="{57B00CB2-A574-43C9-8E2C-067F1DFBBEB5}" name="Date" dataDxfId="14"/>
    <tableColumn id="6" xr3:uid="{2E2DD1AC-A69F-4AAB-A3F8-AD33C394F9F2}" name="Stock(Units)" dataDxfId="13">
      <calculatedColumnFormula>IFERROR(VLOOKUP(sales_table[[#This Row],[HSN Code]],Table6[#All],6,0),"")</calculatedColumnFormula>
    </tableColumn>
    <tableColumn id="7" xr3:uid="{BAAEAD51-57A3-4A98-B148-15FD867801EB}" name="Units" dataDxfId="12"/>
    <tableColumn id="8" xr3:uid="{A25F135D-7C49-41C7-BBA4-ACBF9BE711B0}" name="Price" dataDxfId="11">
      <calculatedColumnFormula>IFERROR(VLOOKUP(sales_table[[#This Row],[HSN Code]],Products!D1:G11,4,0),"")</calculatedColumnFormula>
    </tableColumn>
    <tableColumn id="9" xr3:uid="{AC91A751-8CC8-4558-9DE5-79BEE732BEB5}" name="Amount" dataDxfId="10">
      <calculatedColumnFormula>IFERROR(sales_table[[#This Row],[Price]]*sales_table[[#This Row],[Units]],"")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25DAF-5816-4F23-AF68-F2C41B4DAAD5}" name="Table6" displayName="Table6" ref="D7:K25" totalsRowShown="0" headerRowDxfId="9" dataDxfId="8">
  <autoFilter ref="D7:K25" xr:uid="{77225DAF-5816-4F23-AF68-F2C41B4DAAD5}"/>
  <tableColumns count="8">
    <tableColumn id="1" xr3:uid="{16E71508-998B-4089-9C3F-25EA0E13B2D8}" name="HSN Code " dataDxfId="7">
      <calculatedColumnFormula>IFERROR(Product_data[[#This Row],[HSN Code]],"")</calculatedColumnFormula>
    </tableColumn>
    <tableColumn id="2" xr3:uid="{03C35C53-91B1-4E1F-BEC8-F4692D9BB4EA}" name="Product Name " dataDxfId="6">
      <calculatedColumnFormula>IFERROR(Product_data[[#This Row],[Product Name]],"")</calculatedColumnFormula>
    </tableColumn>
    <tableColumn id="3" xr3:uid="{50DA4452-53BC-4B0E-AA75-C1C89FF67AFC}" name="Cost" dataDxfId="5">
      <calculatedColumnFormula>IFERROR(Product_data[[#This Row],[Cost]],"")</calculatedColumnFormula>
    </tableColumn>
    <tableColumn id="4" xr3:uid="{0F5E6363-1750-4DEF-A89A-739336680413}" name="P Units" dataDxfId="4">
      <calculatedColumnFormula>SUMIF(purchase_data[Product Name],Table6[[#This Row],[Product Name ]],purchase_data[Units])</calculatedColumnFormula>
    </tableColumn>
    <tableColumn id="5" xr3:uid="{0775DC36-90C3-4728-820A-A74FFE4C0413}" name="S Units" dataDxfId="3">
      <calculatedColumnFormula>SUMIF(sales_table[Product Name],Table6[[#This Row],[Product Name ]],sales_table[Units])</calculatedColumnFormula>
    </tableColumn>
    <tableColumn id="6" xr3:uid="{DA69D687-8BA1-4785-9DBE-40B2800301F7}" name="Stock" dataDxfId="2">
      <calculatedColumnFormula>Table6[[#This Row],[P Units]]-Table6[[#This Row],[S Units]]</calculatedColumnFormula>
    </tableColumn>
    <tableColumn id="7" xr3:uid="{AA557CB5-9258-4C71-A524-D04BE8203DF3}" name="Stock Amount" dataDxfId="1">
      <calculatedColumnFormula>IFERROR(Table6[[#This Row],[Cost]]*Table6[[#This Row],[Stock]],"")</calculatedColumnFormula>
    </tableColumn>
    <tableColumn id="8" xr3:uid="{C7513841-257F-48A4-9B65-9F27C36B48A0}" name="Notifications" dataDxfId="0">
      <calculatedColumnFormula>IFERROR(IF(Table6[[#This Row],[Stock]]&lt;5,"📞 "&amp;Table6[[#This Row],[Product Name ]]&amp;" Needs to re-order ! PH "&amp;VLOOKUP(Table6[[#This Row],[HSN Code ]],Vendorsd_data[#All],4,0),""),"")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ysClr val="window" lastClr="FFFFFF"/>
        </a:solidFill>
        <a:ln w="3175"/>
      </a:spPr>
      <a:bodyPr vertOverflow="clip" horzOverflow="clip" rtlCol="0" anchor="ctr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3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raj@gmail.com" TargetMode="External"/><Relationship Id="rId7" Type="http://schemas.openxmlformats.org/officeDocument/2006/relationships/hyperlink" Target="mailto:ram@gmail.com" TargetMode="External"/><Relationship Id="rId2" Type="http://schemas.openxmlformats.org/officeDocument/2006/relationships/hyperlink" Target="mailto:ami@gmail.com" TargetMode="External"/><Relationship Id="rId1" Type="http://schemas.openxmlformats.org/officeDocument/2006/relationships/hyperlink" Target="mailto:jai@gmail.com" TargetMode="External"/><Relationship Id="rId6" Type="http://schemas.openxmlformats.org/officeDocument/2006/relationships/hyperlink" Target="mailto:atu@gmail.com" TargetMode="External"/><Relationship Id="rId5" Type="http://schemas.openxmlformats.org/officeDocument/2006/relationships/hyperlink" Target="mailto:mk@gmail.com" TargetMode="External"/><Relationship Id="rId4" Type="http://schemas.openxmlformats.org/officeDocument/2006/relationships/hyperlink" Target="mailto:99s@gmail.com" TargetMode="External"/><Relationship Id="rId9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106B2-4D26-4E43-808A-3A9257CD0D5E}">
  <dimension ref="B1:W47"/>
  <sheetViews>
    <sheetView showGridLines="0" showRowColHeaders="0" topLeftCell="B1" zoomScaleNormal="100" workbookViewId="0">
      <selection activeCell="AB11" sqref="AB11"/>
    </sheetView>
  </sheetViews>
  <sheetFormatPr defaultRowHeight="14.4" x14ac:dyDescent="0.3"/>
  <cols>
    <col min="1" max="1" width="5.109375" style="1" customWidth="1"/>
    <col min="2" max="2" width="21.88671875" style="2" customWidth="1"/>
    <col min="3" max="16384" width="8.88671875" style="1"/>
  </cols>
  <sheetData>
    <row r="1" spans="13:23" s="1" customFormat="1" x14ac:dyDescent="0.3"/>
    <row r="11" spans="13:23" ht="23.4" x14ac:dyDescent="0.45">
      <c r="M11" s="13" t="s">
        <v>93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3:23" ht="15.6" x14ac:dyDescent="0.3">
      <c r="M12" s="14" t="str" cm="1">
        <f t="array" ref="M12">_xlfn._xlws.FILTER(Table6[Notifications],Table6[Notifications]&lt;&gt;"")</f>
        <v>📞 Headphones Needs to re-order ! PH 9814xxxxxx</v>
      </c>
      <c r="N12" s="15"/>
      <c r="O12" s="15"/>
      <c r="P12" s="15"/>
      <c r="Q12" s="15"/>
      <c r="R12" s="15"/>
      <c r="S12" s="2"/>
      <c r="T12" s="2"/>
      <c r="U12" s="2"/>
      <c r="V12" s="2"/>
      <c r="W12" s="2"/>
    </row>
    <row r="13" spans="13:23" ht="15.6" x14ac:dyDescent="0.3">
      <c r="M13" s="1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3:23" ht="15.6" x14ac:dyDescent="0.3">
      <c r="M14" s="1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3:23" ht="15.6" x14ac:dyDescent="0.3">
      <c r="M15" s="1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3:23" ht="15.6" x14ac:dyDescent="0.3">
      <c r="M16" s="1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3:23" ht="15.6" x14ac:dyDescent="0.3">
      <c r="M17" s="1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3:23" ht="15.6" x14ac:dyDescent="0.3">
      <c r="M18" s="1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3:23" ht="15.6" x14ac:dyDescent="0.3">
      <c r="M19" s="1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3:23" ht="15.6" x14ac:dyDescent="0.3">
      <c r="M20" s="1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3:23" ht="15.6" x14ac:dyDescent="0.3">
      <c r="M21" s="1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3:23" ht="15.6" x14ac:dyDescent="0.3">
      <c r="M22" s="1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3:23" ht="15.6" x14ac:dyDescent="0.3">
      <c r="M23" s="1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3:23" ht="15.6" x14ac:dyDescent="0.3">
      <c r="M24" s="1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3:23" ht="15.6" x14ac:dyDescent="0.3">
      <c r="M25" s="1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3:23" ht="15.6" x14ac:dyDescent="0.3">
      <c r="M26" s="1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3:23" ht="15.6" x14ac:dyDescent="0.3">
      <c r="M27" s="1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3:23" ht="15.6" x14ac:dyDescent="0.3">
      <c r="M28" s="12"/>
      <c r="N28" s="2"/>
      <c r="O28" s="2"/>
      <c r="P28" s="2"/>
      <c r="Q28" s="2"/>
      <c r="R28" s="2"/>
      <c r="S28" s="2"/>
      <c r="T28" s="2"/>
      <c r="U28" s="2"/>
      <c r="V28" s="12"/>
      <c r="W28" s="2"/>
    </row>
    <row r="29" spans="13:23" ht="15.6" x14ac:dyDescent="0.3">
      <c r="M29" s="12"/>
      <c r="N29" s="2"/>
      <c r="O29" s="2"/>
      <c r="P29" s="2"/>
      <c r="Q29" s="2"/>
      <c r="R29" s="2"/>
      <c r="S29" s="2"/>
      <c r="T29" s="2"/>
      <c r="U29" s="2"/>
      <c r="V29" s="12"/>
      <c r="W29" s="2"/>
    </row>
    <row r="30" spans="13:23" ht="15.6" x14ac:dyDescent="0.3">
      <c r="M30" s="12"/>
      <c r="N30" s="2"/>
      <c r="O30" s="2"/>
      <c r="P30" s="2"/>
      <c r="Q30" s="2"/>
      <c r="R30" s="2"/>
      <c r="S30" s="2"/>
      <c r="T30" s="2"/>
      <c r="U30" s="2"/>
      <c r="V30" s="12"/>
      <c r="W30" s="2"/>
    </row>
    <row r="31" spans="13:23" ht="15.6" x14ac:dyDescent="0.3">
      <c r="M31" s="12"/>
      <c r="N31" s="2"/>
      <c r="O31" s="2"/>
      <c r="P31" s="2"/>
      <c r="Q31" s="2"/>
      <c r="R31" s="2"/>
      <c r="S31" s="2"/>
      <c r="T31" s="2"/>
      <c r="U31" s="2"/>
      <c r="V31" s="12"/>
      <c r="W31" s="2"/>
    </row>
    <row r="32" spans="13:23" ht="15.6" x14ac:dyDescent="0.3">
      <c r="M32" s="12"/>
      <c r="N32" s="2"/>
      <c r="O32" s="2"/>
      <c r="P32" s="2"/>
      <c r="Q32" s="2"/>
      <c r="R32" s="2"/>
      <c r="S32" s="2"/>
      <c r="T32" s="2"/>
      <c r="U32" s="2"/>
      <c r="V32" s="12"/>
      <c r="W32" s="2"/>
    </row>
    <row r="33" spans="2:23" ht="15.6" x14ac:dyDescent="0.3">
      <c r="M33" s="12"/>
      <c r="N33" s="2"/>
      <c r="O33" s="2"/>
      <c r="P33" s="2"/>
      <c r="Q33" s="2"/>
      <c r="R33" s="2"/>
      <c r="S33" s="2"/>
      <c r="T33" s="2"/>
      <c r="U33" s="2"/>
      <c r="V33" s="12"/>
      <c r="W33" s="2"/>
    </row>
    <row r="34" spans="2:23" ht="15.6" x14ac:dyDescent="0.3">
      <c r="M34" s="12"/>
      <c r="N34" s="2"/>
      <c r="O34" s="2"/>
      <c r="P34" s="2"/>
      <c r="Q34" s="2"/>
      <c r="R34" s="2"/>
      <c r="S34" s="2"/>
      <c r="T34" s="2"/>
      <c r="U34" s="2"/>
      <c r="V34" s="12"/>
      <c r="W34" s="2"/>
    </row>
    <row r="35" spans="2:23" x14ac:dyDescent="0.3">
      <c r="B35" s="1"/>
    </row>
    <row r="36" spans="2:23" x14ac:dyDescent="0.3">
      <c r="B36" s="1"/>
    </row>
    <row r="37" spans="2:23" x14ac:dyDescent="0.3">
      <c r="B37" s="1"/>
    </row>
    <row r="38" spans="2:23" x14ac:dyDescent="0.3">
      <c r="B38" s="1"/>
    </row>
    <row r="39" spans="2:23" x14ac:dyDescent="0.3">
      <c r="B39" s="1"/>
    </row>
    <row r="40" spans="2:23" x14ac:dyDescent="0.3">
      <c r="B40" s="1"/>
    </row>
    <row r="41" spans="2:23" x14ac:dyDescent="0.3">
      <c r="B41" s="1"/>
    </row>
    <row r="42" spans="2:23" x14ac:dyDescent="0.3">
      <c r="B42" s="1"/>
    </row>
    <row r="43" spans="2:23" x14ac:dyDescent="0.3">
      <c r="B43" s="1"/>
    </row>
    <row r="44" spans="2:23" x14ac:dyDescent="0.3">
      <c r="B44" s="1"/>
    </row>
    <row r="45" spans="2:23" x14ac:dyDescent="0.3">
      <c r="B45" s="1"/>
    </row>
    <row r="46" spans="2:23" x14ac:dyDescent="0.3">
      <c r="B46" s="1"/>
    </row>
    <row r="47" spans="2:23" x14ac:dyDescent="0.3">
      <c r="B4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974F-1609-462C-9FC6-AC5A063514B9}">
  <dimension ref="B1:G14"/>
  <sheetViews>
    <sheetView topLeftCell="B1" workbookViewId="0">
      <selection activeCell="AF11" sqref="AF11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44140625" style="1" customWidth="1"/>
    <col min="4" max="4" width="9.33203125" style="1" customWidth="1"/>
    <col min="5" max="5" width="13.21875" style="1" customWidth="1"/>
    <col min="6" max="6" width="16.5546875" style="1" customWidth="1"/>
    <col min="7" max="7" width="18" style="1" customWidth="1"/>
    <col min="8" max="8" width="9.21875" style="1" customWidth="1"/>
    <col min="9" max="16384" width="8.88671875" style="1"/>
  </cols>
  <sheetData>
    <row r="1" spans="2:7" x14ac:dyDescent="0.3">
      <c r="B1" s="1"/>
    </row>
    <row r="7" spans="2:7" x14ac:dyDescent="0.3">
      <c r="D7" s="4" t="s">
        <v>0</v>
      </c>
      <c r="E7" s="1" t="s">
        <v>1</v>
      </c>
      <c r="F7" s="1" t="s">
        <v>2</v>
      </c>
      <c r="G7" s="1" t="s">
        <v>3</v>
      </c>
    </row>
    <row r="8" spans="2:7" x14ac:dyDescent="0.3">
      <c r="D8" s="4">
        <v>100</v>
      </c>
      <c r="E8" s="1" t="s">
        <v>4</v>
      </c>
      <c r="F8" s="3" t="s">
        <v>17</v>
      </c>
      <c r="G8" s="1" t="s">
        <v>19</v>
      </c>
    </row>
    <row r="9" spans="2:7" x14ac:dyDescent="0.3">
      <c r="D9" s="4">
        <v>101</v>
      </c>
      <c r="E9" s="1" t="s">
        <v>5</v>
      </c>
      <c r="F9" s="3" t="s">
        <v>16</v>
      </c>
      <c r="G9" s="1" t="s">
        <v>18</v>
      </c>
    </row>
    <row r="10" spans="2:7" x14ac:dyDescent="0.3">
      <c r="D10" s="4">
        <v>102</v>
      </c>
      <c r="E10" s="1" t="s">
        <v>6</v>
      </c>
      <c r="F10" s="3" t="s">
        <v>15</v>
      </c>
      <c r="G10" s="1" t="s">
        <v>20</v>
      </c>
    </row>
    <row r="11" spans="2:7" x14ac:dyDescent="0.3">
      <c r="D11" s="4">
        <v>103</v>
      </c>
      <c r="E11" s="1" t="s">
        <v>7</v>
      </c>
      <c r="F11" s="3" t="s">
        <v>14</v>
      </c>
      <c r="G11" s="1" t="s">
        <v>21</v>
      </c>
    </row>
    <row r="12" spans="2:7" x14ac:dyDescent="0.3">
      <c r="D12" s="4">
        <v>104</v>
      </c>
      <c r="E12" s="1" t="s">
        <v>8</v>
      </c>
      <c r="F12" s="3" t="s">
        <v>13</v>
      </c>
      <c r="G12" s="1" t="s">
        <v>22</v>
      </c>
    </row>
    <row r="13" spans="2:7" x14ac:dyDescent="0.3">
      <c r="D13" s="4">
        <v>105</v>
      </c>
      <c r="E13" s="1" t="s">
        <v>9</v>
      </c>
      <c r="F13" s="3" t="s">
        <v>12</v>
      </c>
      <c r="G13" s="1" t="s">
        <v>23</v>
      </c>
    </row>
    <row r="14" spans="2:7" x14ac:dyDescent="0.3">
      <c r="D14" s="4">
        <v>106</v>
      </c>
      <c r="E14" s="1" t="s">
        <v>10</v>
      </c>
      <c r="F14" s="3" t="s">
        <v>11</v>
      </c>
      <c r="G14" s="1" t="s">
        <v>24</v>
      </c>
    </row>
  </sheetData>
  <hyperlinks>
    <hyperlink ref="F14" r:id="rId1" xr:uid="{B8ECD0C6-034D-4D77-95CA-870E0504CB2A}"/>
    <hyperlink ref="F13" r:id="rId2" xr:uid="{CD2A1E6E-0174-43A6-B921-CE3E69C855BD}"/>
    <hyperlink ref="F12" r:id="rId3" xr:uid="{43F2368F-2654-4489-B368-FFA832458D5E}"/>
    <hyperlink ref="F11" r:id="rId4" xr:uid="{33DCFAD8-937F-4418-BBBB-C64144E87297}"/>
    <hyperlink ref="F10" r:id="rId5" xr:uid="{90F70BF3-B3BC-4EEA-A968-7610BF356C7D}"/>
    <hyperlink ref="F9" r:id="rId6" xr:uid="{7573895D-312D-4539-8C7A-A6290142011B}"/>
    <hyperlink ref="F8" r:id="rId7" xr:uid="{2F94C2D3-42BE-48C9-A63D-A88E798392C9}"/>
  </hyperlinks>
  <pageMargins left="0.7" right="0.7" top="0.75" bottom="0.75" header="0.3" footer="0.3"/>
  <drawing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0AAE-3616-49E1-99B1-A8FD71CFA661}">
  <dimension ref="B1:H17"/>
  <sheetViews>
    <sheetView workbookViewId="0">
      <selection activeCell="J19" sqref="J19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21875" style="1" customWidth="1"/>
    <col min="4" max="4" width="11.21875" style="1" customWidth="1"/>
    <col min="5" max="5" width="15.88671875" style="1" customWidth="1"/>
    <col min="6" max="6" width="14.5546875" style="1" customWidth="1"/>
    <col min="7" max="7" width="14.88671875" style="1" customWidth="1"/>
    <col min="8" max="9" width="16.33203125" style="1" customWidth="1"/>
    <col min="10" max="16384" width="8.88671875" style="1"/>
  </cols>
  <sheetData>
    <row r="1" spans="2:8" x14ac:dyDescent="0.3">
      <c r="B1" s="1"/>
    </row>
    <row r="7" spans="2:8" x14ac:dyDescent="0.3">
      <c r="D7" s="1" t="s">
        <v>25</v>
      </c>
      <c r="E7" s="5" t="s">
        <v>36</v>
      </c>
      <c r="F7" s="1" t="s">
        <v>49</v>
      </c>
      <c r="G7" s="1" t="s">
        <v>56</v>
      </c>
      <c r="H7" s="1" t="s">
        <v>3</v>
      </c>
    </row>
    <row r="8" spans="2:8" x14ac:dyDescent="0.3">
      <c r="D8" s="1" t="s">
        <v>26</v>
      </c>
      <c r="E8" s="1" t="s">
        <v>37</v>
      </c>
      <c r="F8" s="1" t="s">
        <v>50</v>
      </c>
      <c r="G8" s="1" t="s">
        <v>54</v>
      </c>
      <c r="H8" s="1" t="s">
        <v>20</v>
      </c>
    </row>
    <row r="9" spans="2:8" x14ac:dyDescent="0.3">
      <c r="D9" s="1" t="s">
        <v>27</v>
      </c>
      <c r="E9" s="1" t="s">
        <v>38</v>
      </c>
      <c r="F9" s="1" t="s">
        <v>50</v>
      </c>
      <c r="G9" s="1" t="s">
        <v>54</v>
      </c>
      <c r="H9" s="1" t="s">
        <v>57</v>
      </c>
    </row>
    <row r="10" spans="2:8" x14ac:dyDescent="0.3">
      <c r="D10" s="1" t="s">
        <v>28</v>
      </c>
      <c r="E10" s="1" t="s">
        <v>48</v>
      </c>
      <c r="F10" s="1" t="s">
        <v>50</v>
      </c>
      <c r="G10" s="1" t="s">
        <v>54</v>
      </c>
      <c r="H10" s="1" t="s">
        <v>58</v>
      </c>
    </row>
    <row r="11" spans="2:8" x14ac:dyDescent="0.3">
      <c r="D11" s="1" t="s">
        <v>29</v>
      </c>
      <c r="E11" s="1" t="s">
        <v>39</v>
      </c>
      <c r="F11" s="1" t="s">
        <v>51</v>
      </c>
      <c r="G11" s="1" t="s">
        <v>55</v>
      </c>
      <c r="H11" s="1" t="s">
        <v>23</v>
      </c>
    </row>
    <row r="12" spans="2:8" x14ac:dyDescent="0.3">
      <c r="D12" s="1" t="s">
        <v>30</v>
      </c>
      <c r="E12" s="1" t="s">
        <v>40</v>
      </c>
      <c r="F12" s="1" t="s">
        <v>51</v>
      </c>
      <c r="G12" s="1" t="s">
        <v>55</v>
      </c>
      <c r="H12" s="1" t="s">
        <v>59</v>
      </c>
    </row>
    <row r="13" spans="2:8" x14ac:dyDescent="0.3">
      <c r="D13" s="1" t="s">
        <v>31</v>
      </c>
      <c r="E13" s="1" t="s">
        <v>41</v>
      </c>
      <c r="F13" s="1" t="s">
        <v>51</v>
      </c>
      <c r="G13" s="1" t="s">
        <v>55</v>
      </c>
      <c r="H13" s="1" t="s">
        <v>60</v>
      </c>
    </row>
    <row r="14" spans="2:8" x14ac:dyDescent="0.3">
      <c r="D14" s="1" t="s">
        <v>32</v>
      </c>
      <c r="E14" s="1" t="s">
        <v>42</v>
      </c>
      <c r="F14" s="1" t="s">
        <v>51</v>
      </c>
      <c r="G14" s="1" t="s">
        <v>55</v>
      </c>
      <c r="H14" s="1" t="s">
        <v>61</v>
      </c>
    </row>
    <row r="15" spans="2:8" x14ac:dyDescent="0.3">
      <c r="D15" s="1" t="s">
        <v>33</v>
      </c>
      <c r="E15" s="1" t="s">
        <v>43</v>
      </c>
      <c r="F15" s="1" t="s">
        <v>52</v>
      </c>
      <c r="G15" s="1" t="s">
        <v>53</v>
      </c>
      <c r="H15" s="1" t="s">
        <v>62</v>
      </c>
    </row>
    <row r="16" spans="2:8" x14ac:dyDescent="0.3">
      <c r="D16" s="1" t="s">
        <v>34</v>
      </c>
      <c r="E16" s="1" t="s">
        <v>44</v>
      </c>
      <c r="F16" s="1" t="s">
        <v>52</v>
      </c>
      <c r="G16" s="1" t="s">
        <v>53</v>
      </c>
      <c r="H16" s="1" t="s">
        <v>63</v>
      </c>
    </row>
    <row r="17" spans="4:8" x14ac:dyDescent="0.3">
      <c r="D17" s="1" t="s">
        <v>35</v>
      </c>
      <c r="E17" s="6" t="s">
        <v>45</v>
      </c>
      <c r="F17" s="1" t="s">
        <v>52</v>
      </c>
      <c r="G17" s="1" t="s">
        <v>53</v>
      </c>
      <c r="H17" s="1" t="s">
        <v>64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B29A-94D3-4DD8-9955-20BD3AE5D3AF}">
  <dimension ref="B1:G17"/>
  <sheetViews>
    <sheetView workbookViewId="0">
      <selection activeCell="Y18" sqref="Y18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33203125" style="1" customWidth="1"/>
    <col min="4" max="4" width="11.21875" style="1" customWidth="1"/>
    <col min="5" max="5" width="15.109375" style="1" customWidth="1"/>
    <col min="6" max="6" width="8.88671875" style="1"/>
    <col min="7" max="7" width="12.88671875" style="1" customWidth="1"/>
    <col min="8" max="8" width="11.77734375" style="1" customWidth="1"/>
    <col min="9" max="16384" width="8.88671875" style="1"/>
  </cols>
  <sheetData>
    <row r="1" spans="2:7" x14ac:dyDescent="0.3">
      <c r="B1" s="1"/>
    </row>
    <row r="7" spans="2:7" x14ac:dyDescent="0.3">
      <c r="D7" s="1" t="s">
        <v>25</v>
      </c>
      <c r="E7" s="1" t="s">
        <v>36</v>
      </c>
      <c r="F7" s="1" t="s">
        <v>46</v>
      </c>
      <c r="G7" s="1" t="s">
        <v>47</v>
      </c>
    </row>
    <row r="8" spans="2:7" x14ac:dyDescent="0.3">
      <c r="D8" s="1" t="s">
        <v>26</v>
      </c>
      <c r="E8" s="1" t="s">
        <v>37</v>
      </c>
      <c r="F8" s="1">
        <v>980</v>
      </c>
      <c r="G8" s="1">
        <v>1176</v>
      </c>
    </row>
    <row r="9" spans="2:7" x14ac:dyDescent="0.3">
      <c r="D9" s="1" t="s">
        <v>27</v>
      </c>
      <c r="E9" s="1" t="s">
        <v>38</v>
      </c>
      <c r="F9" s="1">
        <v>34500</v>
      </c>
      <c r="G9" s="1">
        <v>41400</v>
      </c>
    </row>
    <row r="10" spans="2:7" x14ac:dyDescent="0.3">
      <c r="D10" s="1" t="s">
        <v>28</v>
      </c>
      <c r="E10" s="1" t="s">
        <v>48</v>
      </c>
      <c r="F10" s="1">
        <v>4600</v>
      </c>
      <c r="G10" s="1">
        <v>5520</v>
      </c>
    </row>
    <row r="11" spans="2:7" x14ac:dyDescent="0.3">
      <c r="D11" s="1" t="s">
        <v>29</v>
      </c>
      <c r="E11" s="1" t="s">
        <v>39</v>
      </c>
      <c r="F11" s="1">
        <v>21000</v>
      </c>
      <c r="G11" s="1">
        <v>25200</v>
      </c>
    </row>
    <row r="12" spans="2:7" x14ac:dyDescent="0.3">
      <c r="D12" s="1" t="s">
        <v>30</v>
      </c>
      <c r="E12" s="1" t="s">
        <v>40</v>
      </c>
      <c r="F12" s="1">
        <v>200</v>
      </c>
      <c r="G12" s="1">
        <v>240</v>
      </c>
    </row>
    <row r="13" spans="2:7" x14ac:dyDescent="0.3">
      <c r="D13" s="1" t="s">
        <v>31</v>
      </c>
      <c r="E13" s="1" t="s">
        <v>41</v>
      </c>
      <c r="F13" s="1">
        <v>340</v>
      </c>
      <c r="G13" s="1">
        <v>408</v>
      </c>
    </row>
    <row r="14" spans="2:7" x14ac:dyDescent="0.3">
      <c r="D14" s="1" t="s">
        <v>32</v>
      </c>
      <c r="E14" s="1" t="s">
        <v>42</v>
      </c>
      <c r="F14" s="1">
        <v>52000</v>
      </c>
      <c r="G14" s="1">
        <v>62400</v>
      </c>
    </row>
    <row r="15" spans="2:7" x14ac:dyDescent="0.3">
      <c r="D15" s="1" t="s">
        <v>33</v>
      </c>
      <c r="E15" s="1" t="s">
        <v>43</v>
      </c>
      <c r="F15" s="1">
        <v>799</v>
      </c>
      <c r="G15" s="1">
        <v>958.8</v>
      </c>
    </row>
    <row r="16" spans="2:7" x14ac:dyDescent="0.3">
      <c r="D16" s="1" t="s">
        <v>34</v>
      </c>
      <c r="E16" s="1" t="s">
        <v>44</v>
      </c>
      <c r="F16" s="1">
        <v>670</v>
      </c>
      <c r="G16" s="1">
        <v>804</v>
      </c>
    </row>
    <row r="17" spans="4:7" x14ac:dyDescent="0.3">
      <c r="D17" s="1" t="s">
        <v>35</v>
      </c>
      <c r="E17" s="1" t="s">
        <v>45</v>
      </c>
      <c r="F17" s="1">
        <v>23500</v>
      </c>
      <c r="G17" s="1">
        <v>28200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F754-17BD-47D9-B633-28D473C9529D}">
  <dimension ref="B1:E11"/>
  <sheetViews>
    <sheetView workbookViewId="0">
      <selection activeCell="AK18" sqref="AK18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33203125" style="1" customWidth="1"/>
    <col min="4" max="16384" width="8.88671875" style="1"/>
  </cols>
  <sheetData>
    <row r="1" spans="5:5" s="1" customFormat="1" x14ac:dyDescent="0.3"/>
    <row r="9" spans="5:5" x14ac:dyDescent="0.3">
      <c r="E9" s="3" t="s">
        <v>65</v>
      </c>
    </row>
    <row r="11" spans="5:5" x14ac:dyDescent="0.3">
      <c r="E11" s="3" t="s">
        <v>66</v>
      </c>
    </row>
  </sheetData>
  <hyperlinks>
    <hyperlink ref="E9" location="Purchase!A1" display="Purchase Entry" xr:uid="{7917765D-BCEC-4D19-8913-A5E877C5E963}"/>
    <hyperlink ref="E11" location="Sales!A1" display="Sale Entry" xr:uid="{12372885-0211-4909-9DDF-F7B5382B4E16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D793-5AAF-4DA5-80ED-96754EEF1F66}">
  <dimension ref="B1:J18"/>
  <sheetViews>
    <sheetView workbookViewId="0">
      <pane ySplit="1" topLeftCell="A2" activePane="bottomLeft" state="frozen"/>
      <selection pane="bottomLeft" activeCell="Z21" sqref="Z21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33203125" style="1" customWidth="1"/>
    <col min="4" max="4" width="15" style="1" customWidth="1"/>
    <col min="5" max="5" width="18.21875" style="1" customWidth="1"/>
    <col min="6" max="6" width="12.88671875" style="1" customWidth="1"/>
    <col min="7" max="7" width="11.44140625" style="1" customWidth="1"/>
    <col min="8" max="8" width="13.77734375" style="1" customWidth="1"/>
    <col min="9" max="9" width="13.44140625" style="1" customWidth="1"/>
    <col min="10" max="10" width="16.33203125" style="1" customWidth="1"/>
    <col min="11" max="16384" width="8.88671875" style="1"/>
  </cols>
  <sheetData>
    <row r="1" spans="2:10" x14ac:dyDescent="0.3">
      <c r="B1" s="1"/>
    </row>
    <row r="7" spans="2:10" x14ac:dyDescent="0.3">
      <c r="D7" s="1" t="s">
        <v>25</v>
      </c>
      <c r="E7" s="1" t="s">
        <v>36</v>
      </c>
      <c r="F7" s="1" t="s">
        <v>67</v>
      </c>
      <c r="G7" s="1" t="s">
        <v>68</v>
      </c>
      <c r="H7" s="1" t="s">
        <v>69</v>
      </c>
      <c r="I7" s="1" t="s">
        <v>46</v>
      </c>
      <c r="J7" s="1" t="s">
        <v>70</v>
      </c>
    </row>
    <row r="8" spans="2:10" x14ac:dyDescent="0.3">
      <c r="D8" s="1" t="s">
        <v>28</v>
      </c>
      <c r="E8" s="1" t="str">
        <f>IFERROR(VLOOKUP(purchase_data[[#This Row],[HSN Code]],Product_data[#All],2,0),"")</f>
        <v>Wireless Printer</v>
      </c>
      <c r="F8" s="1" t="str">
        <f>IFERROR(VLOOKUP(purchase_data[[#This Row],[HSN Code]],Vendorsd_data[#All],3,0),"")</f>
        <v>Tech99</v>
      </c>
      <c r="G8" s="7">
        <v>46023</v>
      </c>
      <c r="H8" s="1">
        <v>10</v>
      </c>
      <c r="I8" s="1">
        <f>IFERROR(VLOOKUP(purchase_data[[#This Row],[HSN Code]],Product_data[#All],3,0),"")</f>
        <v>4600</v>
      </c>
      <c r="J8" s="1">
        <f>IFERROR(purchase_data[[#This Row],[Units]]*purchase_data[[#This Row],[Cost]],"")</f>
        <v>46000</v>
      </c>
    </row>
    <row r="9" spans="2:10" x14ac:dyDescent="0.3">
      <c r="D9" s="1" t="s">
        <v>30</v>
      </c>
      <c r="E9" s="1" t="str">
        <f>IFERROR(VLOOKUP(purchase_data[[#This Row],[HSN Code]],Product_data[#All],2,0),"")</f>
        <v>Mouse</v>
      </c>
      <c r="F9" s="1" t="str">
        <f>IFERROR(VLOOKUP(purchase_data[[#This Row],[HSN Code]],Vendorsd_data[#All],3,0),"")</f>
        <v>GG Traders</v>
      </c>
      <c r="G9" s="7">
        <v>46024</v>
      </c>
      <c r="H9" s="1">
        <v>57</v>
      </c>
      <c r="I9" s="1">
        <f>IFERROR(VLOOKUP(purchase_data[[#This Row],[HSN Code]],Product_data[#All],3,0),"")</f>
        <v>200</v>
      </c>
      <c r="J9" s="1">
        <f>IFERROR(purchase_data[[#This Row],[Units]]*purchase_data[[#This Row],[Cost]],"")</f>
        <v>11400</v>
      </c>
    </row>
    <row r="10" spans="2:10" x14ac:dyDescent="0.3">
      <c r="D10" s="1" t="s">
        <v>29</v>
      </c>
      <c r="E10" s="1" t="str">
        <f>IFERROR(VLOOKUP(purchase_data[[#This Row],[HSN Code]],Product_data[#All],2,0),"")</f>
        <v>Desktop</v>
      </c>
      <c r="F10" s="1" t="str">
        <f>IFERROR(VLOOKUP(purchase_data[[#This Row],[HSN Code]],Vendorsd_data[#All],3,0),"")</f>
        <v>GG Traders</v>
      </c>
      <c r="G10" s="7">
        <v>46025</v>
      </c>
      <c r="H10" s="1">
        <v>85</v>
      </c>
      <c r="I10" s="1">
        <f>IFERROR(VLOOKUP(purchase_data[[#This Row],[HSN Code]],Product_data[#All],3,0),"")</f>
        <v>21000</v>
      </c>
      <c r="J10" s="1">
        <f>IFERROR(purchase_data[[#This Row],[Units]]*purchase_data[[#This Row],[Cost]],"")</f>
        <v>1785000</v>
      </c>
    </row>
    <row r="11" spans="2:10" x14ac:dyDescent="0.3">
      <c r="D11" s="1" t="s">
        <v>29</v>
      </c>
      <c r="E11" s="1" t="str">
        <f>IFERROR(VLOOKUP(purchase_data[[#This Row],[HSN Code]],Product_data[#All],2,0),"")</f>
        <v>Desktop</v>
      </c>
      <c r="F11" s="1" t="str">
        <f>IFERROR(VLOOKUP(purchase_data[[#This Row],[HSN Code]],Vendorsd_data[#All],3,0),"")</f>
        <v>GG Traders</v>
      </c>
      <c r="G11" s="7">
        <v>46026</v>
      </c>
      <c r="H11" s="1">
        <v>47</v>
      </c>
      <c r="I11" s="1">
        <f>IFERROR(VLOOKUP(purchase_data[[#This Row],[HSN Code]],Product_data[#All],3,0),"")</f>
        <v>21000</v>
      </c>
      <c r="J11" s="1">
        <f>IFERROR(purchase_data[[#This Row],[Units]]*purchase_data[[#This Row],[Cost]],"")</f>
        <v>987000</v>
      </c>
    </row>
    <row r="12" spans="2:10" x14ac:dyDescent="0.3">
      <c r="D12" s="1" t="s">
        <v>26</v>
      </c>
      <c r="E12" s="1" t="str">
        <f>IFERROR(VLOOKUP(purchase_data[[#This Row],[HSN Code]],Product_data[#All],2,0),"")</f>
        <v>Smart Watch</v>
      </c>
      <c r="F12" s="1" t="str">
        <f>IFERROR(VLOOKUP(purchase_data[[#This Row],[HSN Code]],Vendorsd_data[#All],3,0),"")</f>
        <v>Tech99</v>
      </c>
      <c r="G12" s="7">
        <v>46055</v>
      </c>
      <c r="H12" s="1">
        <v>23</v>
      </c>
      <c r="I12" s="1">
        <f>IFERROR(VLOOKUP(purchase_data[[#This Row],[HSN Code]],Product_data[#All],3,0),"")</f>
        <v>980</v>
      </c>
      <c r="J12" s="1">
        <f>IFERROR(purchase_data[[#This Row],[Units]]*purchase_data[[#This Row],[Cost]],"")</f>
        <v>22540</v>
      </c>
    </row>
    <row r="13" spans="2:10" x14ac:dyDescent="0.3">
      <c r="D13" s="1" t="s">
        <v>32</v>
      </c>
      <c r="E13" s="1" t="str">
        <f>IFERROR(VLOOKUP(purchase_data[[#This Row],[HSN Code]],Product_data[#All],2,0),"")</f>
        <v>Camera</v>
      </c>
      <c r="F13" s="1" t="str">
        <f>IFERROR(VLOOKUP(purchase_data[[#This Row],[HSN Code]],Vendorsd_data[#All],3,0),"")</f>
        <v>GG Traders</v>
      </c>
      <c r="G13" s="7">
        <v>46056</v>
      </c>
      <c r="H13" s="1">
        <v>50</v>
      </c>
      <c r="I13" s="1">
        <f>IFERROR(VLOOKUP(purchase_data[[#This Row],[HSN Code]],Product_data[#All],3,0),"")</f>
        <v>52000</v>
      </c>
      <c r="J13" s="1">
        <f>IFERROR(purchase_data[[#This Row],[Units]]*purchase_data[[#This Row],[Cost]],"")</f>
        <v>2600000</v>
      </c>
    </row>
    <row r="14" spans="2:10" x14ac:dyDescent="0.3">
      <c r="D14" s="1" t="s">
        <v>31</v>
      </c>
      <c r="E14" s="1" t="str">
        <f>IFERROR(VLOOKUP(purchase_data[[#This Row],[HSN Code]],Product_data[#All],2,0),"")</f>
        <v>Rgb Keyboard</v>
      </c>
      <c r="F14" s="1" t="str">
        <f>IFERROR(VLOOKUP(purchase_data[[#This Row],[HSN Code]],Vendorsd_data[#All],3,0),"")</f>
        <v>GG Traders</v>
      </c>
      <c r="G14" s="7">
        <v>46057</v>
      </c>
      <c r="H14" s="1">
        <v>54</v>
      </c>
      <c r="I14" s="1">
        <f>IFERROR(VLOOKUP(purchase_data[[#This Row],[HSN Code]],Product_data[#All],3,0),"")</f>
        <v>340</v>
      </c>
      <c r="J14" s="1">
        <f>IFERROR(purchase_data[[#This Row],[Units]]*purchase_data[[#This Row],[Cost]],"")</f>
        <v>18360</v>
      </c>
    </row>
    <row r="15" spans="2:10" x14ac:dyDescent="0.3">
      <c r="D15" s="1" t="s">
        <v>27</v>
      </c>
      <c r="E15" s="1" t="str">
        <f>IFERROR(VLOOKUP(purchase_data[[#This Row],[HSN Code]],Product_data[#All],2,0),"")</f>
        <v xml:space="preserve">Laptop HP </v>
      </c>
      <c r="F15" s="1" t="str">
        <f>IFERROR(VLOOKUP(purchase_data[[#This Row],[HSN Code]],Vendorsd_data[#All],3,0),"")</f>
        <v>Tech99</v>
      </c>
      <c r="G15" s="7">
        <v>46058</v>
      </c>
      <c r="H15" s="1">
        <v>64</v>
      </c>
      <c r="I15" s="1">
        <f>IFERROR(VLOOKUP(purchase_data[[#This Row],[HSN Code]],Product_data[#All],3,0),"")</f>
        <v>34500</v>
      </c>
      <c r="J15" s="1">
        <f>IFERROR(purchase_data[[#This Row],[Units]]*purchase_data[[#This Row],[Cost]],"")</f>
        <v>2208000</v>
      </c>
    </row>
    <row r="16" spans="2:10" x14ac:dyDescent="0.3">
      <c r="D16" s="1" t="s">
        <v>35</v>
      </c>
      <c r="E16" s="1" t="str">
        <f>IFERROR(VLOOKUP(purchase_data[[#This Row],[HSN Code]],Product_data[#All],2,0),"")</f>
        <v>Tablets</v>
      </c>
      <c r="F16" s="1" t="str">
        <f>IFERROR(VLOOKUP(purchase_data[[#This Row],[HSN Code]],Vendorsd_data[#All],3,0),"")</f>
        <v>Compac</v>
      </c>
      <c r="G16" s="7">
        <v>46082</v>
      </c>
      <c r="H16" s="1">
        <v>20</v>
      </c>
      <c r="I16" s="1">
        <f>IFERROR(VLOOKUP(purchase_data[[#This Row],[HSN Code]],Product_data[#All],3,0),"")</f>
        <v>23500</v>
      </c>
      <c r="J16" s="1">
        <f>IFERROR(purchase_data[[#This Row],[Units]]*purchase_data[[#This Row],[Cost]],"")</f>
        <v>470000</v>
      </c>
    </row>
    <row r="17" spans="4:10" x14ac:dyDescent="0.3">
      <c r="D17" s="1" t="s">
        <v>29</v>
      </c>
      <c r="E17" s="1" t="str">
        <f>IFERROR(VLOOKUP(purchase_data[[#This Row],[HSN Code]],Product_data[#All],2,0),"")</f>
        <v>Desktop</v>
      </c>
      <c r="F17" s="1" t="str">
        <f>IFERROR(VLOOKUP(purchase_data[[#This Row],[HSN Code]],Vendorsd_data[#All],3,0),"")</f>
        <v>GG Traders</v>
      </c>
      <c r="G17" s="7">
        <v>46083</v>
      </c>
      <c r="H17" s="1">
        <v>78</v>
      </c>
      <c r="I17" s="1">
        <f>IFERROR(VLOOKUP(purchase_data[[#This Row],[HSN Code]],Product_data[#All],3,0),"")</f>
        <v>21000</v>
      </c>
      <c r="J17" s="1">
        <f>IFERROR(purchase_data[[#This Row],[Units]]*purchase_data[[#This Row],[Cost]],"")</f>
        <v>1638000</v>
      </c>
    </row>
    <row r="18" spans="4:10" x14ac:dyDescent="0.3">
      <c r="D18" s="1" t="s">
        <v>34</v>
      </c>
      <c r="E18" s="1" t="str">
        <f>IFERROR(VLOOKUP(purchase_data[[#This Row],[HSN Code]],Product_data[#All],2,0),"")</f>
        <v>Speakers</v>
      </c>
      <c r="F18" s="1" t="str">
        <f>IFERROR(VLOOKUP(purchase_data[[#This Row],[HSN Code]],Vendorsd_data[#All],3,0),"")</f>
        <v>Compac</v>
      </c>
      <c r="G18" s="7">
        <v>46084</v>
      </c>
      <c r="H18" s="1">
        <v>90</v>
      </c>
      <c r="I18" s="1">
        <f>IFERROR(VLOOKUP(purchase_data[[#This Row],[HSN Code]],Product_data[#All],3,0),"")</f>
        <v>670</v>
      </c>
      <c r="J18" s="1">
        <f>IFERROR(purchase_data[[#This Row],[Units]]*purchase_data[[#This Row],[Cost]],"")</f>
        <v>60300</v>
      </c>
    </row>
  </sheetData>
  <dataValidations count="1">
    <dataValidation type="list" allowBlank="1" showInputMessage="1" showErrorMessage="1" sqref="D8:D18" xr:uid="{C071E54B-67B1-4D43-A5E2-119425A4C92D}">
      <formula1>hsncode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449B-09FC-4948-9C98-E8F23F85609D}">
  <dimension ref="B1:L25"/>
  <sheetViews>
    <sheetView workbookViewId="0">
      <selection activeCell="AH22" sqref="AH22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109375" style="1" customWidth="1"/>
    <col min="4" max="4" width="11.6640625" style="4" customWidth="1"/>
    <col min="5" max="5" width="14.5546875" style="1" customWidth="1"/>
    <col min="6" max="6" width="13.5546875" style="1" customWidth="1"/>
    <col min="7" max="7" width="16.109375" style="1" customWidth="1"/>
    <col min="8" max="8" width="11" style="1" customWidth="1"/>
    <col min="9" max="9" width="15.21875" style="1" customWidth="1"/>
    <col min="10" max="10" width="10.6640625" style="1" customWidth="1"/>
    <col min="11" max="11" width="9.21875" style="1" customWidth="1"/>
    <col min="12" max="12" width="13" style="1" customWidth="1"/>
    <col min="13" max="16384" width="8.88671875" style="1"/>
  </cols>
  <sheetData>
    <row r="1" spans="2:12" x14ac:dyDescent="0.3">
      <c r="B1" s="1"/>
    </row>
    <row r="7" spans="2:12" x14ac:dyDescent="0.3">
      <c r="D7" s="4" t="s">
        <v>0</v>
      </c>
      <c r="E7" s="1" t="s">
        <v>71</v>
      </c>
      <c r="F7" s="1" t="s">
        <v>25</v>
      </c>
      <c r="G7" s="1" t="s">
        <v>36</v>
      </c>
      <c r="H7" s="1" t="s">
        <v>68</v>
      </c>
      <c r="I7" s="1" t="s">
        <v>72</v>
      </c>
      <c r="J7" s="1" t="s">
        <v>69</v>
      </c>
      <c r="K7" s="1" t="s">
        <v>73</v>
      </c>
      <c r="L7" s="1" t="s">
        <v>70</v>
      </c>
    </row>
    <row r="8" spans="2:12" x14ac:dyDescent="0.3">
      <c r="D8" s="4">
        <v>100</v>
      </c>
      <c r="E8" s="1" t="str">
        <f>IFERROR(VLOOKUP(sales_table[[#This Row],[Cust_ID]],Cust_Data[#All],2,0),"")</f>
        <v>Ram Sales</v>
      </c>
      <c r="F8" s="1" t="s">
        <v>29</v>
      </c>
      <c r="G8" s="1" t="str">
        <f>IFERROR(VLOOKUP(sales_table[[#This Row],[HSN Code]],Products!D7:G17,2,0),"")</f>
        <v>Desktop</v>
      </c>
      <c r="H8" s="7">
        <v>46023</v>
      </c>
      <c r="I8" s="1">
        <f>IFERROR(VLOOKUP(sales_table[[#This Row],[HSN Code]],Table6[#All],6,0),"")</f>
        <v>206</v>
      </c>
      <c r="J8" s="1">
        <v>2</v>
      </c>
      <c r="K8" s="1">
        <f>IFERROR(VLOOKUP(sales_table[[#This Row],[HSN Code]],Products!D1:G11,4,0),"")</f>
        <v>25200</v>
      </c>
      <c r="L8" s="1">
        <f>IFERROR(sales_table[[#This Row],[Price]]*sales_table[[#This Row],[Units]],"")</f>
        <v>50400</v>
      </c>
    </row>
    <row r="9" spans="2:12" x14ac:dyDescent="0.3">
      <c r="D9" s="4">
        <v>103</v>
      </c>
      <c r="E9" s="1" t="str">
        <f>IFERROR(VLOOKUP(sales_table[[#This Row],[Cust_ID]],Cust_Data[#All],2,0),"")</f>
        <v>99store</v>
      </c>
      <c r="F9" s="1" t="s">
        <v>27</v>
      </c>
      <c r="G9" s="1" t="str">
        <f>IFERROR(VLOOKUP(sales_table[[#This Row],[HSN Code]],Products!D8:G18,2,0),"")</f>
        <v xml:space="preserve">Laptop HP </v>
      </c>
      <c r="H9" s="7">
        <v>46023</v>
      </c>
      <c r="I9" s="1">
        <f>IFERROR(VLOOKUP(sales_table[[#This Row],[HSN Code]],Table6[#All],6,0),"")</f>
        <v>59</v>
      </c>
      <c r="J9" s="1">
        <v>2</v>
      </c>
      <c r="K9" s="1">
        <f>IFERROR(VLOOKUP(sales_table[[#This Row],[HSN Code]],Products!D2:G12,4,0),"")</f>
        <v>41400</v>
      </c>
      <c r="L9" s="1">
        <f>IFERROR(sales_table[[#This Row],[Price]]*sales_table[[#This Row],[Units]],"")</f>
        <v>82800</v>
      </c>
    </row>
    <row r="10" spans="2:12" x14ac:dyDescent="0.3">
      <c r="D10" s="4">
        <v>104</v>
      </c>
      <c r="E10" s="1" t="str">
        <f>IFERROR(VLOOKUP(sales_table[[#This Row],[Cust_ID]],Cust_Data[#All],2,0),"")</f>
        <v>Rajesh Kumar</v>
      </c>
      <c r="F10" s="1" t="s">
        <v>30</v>
      </c>
      <c r="G10" s="1" t="str">
        <f>IFERROR(VLOOKUP(sales_table[[#This Row],[HSN Code]],Products!D9:G19,2,0),"")</f>
        <v>Mouse</v>
      </c>
      <c r="H10" s="7">
        <v>46023</v>
      </c>
      <c r="I10" s="1">
        <f>IFERROR(VLOOKUP(sales_table[[#This Row],[HSN Code]],Table6[#All],6,0),"")</f>
        <v>46</v>
      </c>
      <c r="J10" s="1">
        <v>1</v>
      </c>
      <c r="K10" s="1">
        <f>IFERROR(VLOOKUP(sales_table[[#This Row],[HSN Code]],Products!D3:G13,4,0),"")</f>
        <v>240</v>
      </c>
      <c r="L10" s="1">
        <f>IFERROR(sales_table[[#This Row],[Price]]*sales_table[[#This Row],[Units]],"")</f>
        <v>240</v>
      </c>
    </row>
    <row r="11" spans="2:12" x14ac:dyDescent="0.3">
      <c r="D11" s="4">
        <v>101</v>
      </c>
      <c r="E11" s="1" t="str">
        <f>IFERROR(VLOOKUP(sales_table[[#This Row],[Cust_ID]],Cust_Data[#All],2,0),"")</f>
        <v>Atul Ltd.</v>
      </c>
      <c r="F11" s="1" t="s">
        <v>31</v>
      </c>
      <c r="G11" s="1" t="str">
        <f>IFERROR(VLOOKUP(sales_table[[#This Row],[HSN Code]],Products!D10:G20,2,0),"")</f>
        <v>Rgb Keyboard</v>
      </c>
      <c r="H11" s="7">
        <v>46024</v>
      </c>
      <c r="I11" s="1">
        <f>IFERROR(VLOOKUP(sales_table[[#This Row],[HSN Code]],Table6[#All],6,0),"")</f>
        <v>27</v>
      </c>
      <c r="J11" s="1">
        <v>25</v>
      </c>
      <c r="K11" s="1">
        <f>IFERROR(VLOOKUP(sales_table[[#This Row],[HSN Code]],Products!D4:G14,4,0),"")</f>
        <v>408</v>
      </c>
      <c r="L11" s="1">
        <f>IFERROR(sales_table[[#This Row],[Price]]*sales_table[[#This Row],[Units]],"")</f>
        <v>10200</v>
      </c>
    </row>
    <row r="12" spans="2:12" x14ac:dyDescent="0.3">
      <c r="D12" s="4">
        <v>102</v>
      </c>
      <c r="E12" s="1" t="str">
        <f>IFERROR(VLOOKUP(sales_table[[#This Row],[Cust_ID]],Cust_Data[#All],2,0),"")</f>
        <v>MK Tech.</v>
      </c>
      <c r="F12" s="1" t="s">
        <v>33</v>
      </c>
      <c r="G12" s="1" t="str">
        <f>IFERROR(VLOOKUP(sales_table[[#This Row],[HSN Code]],Products!D11:G21,2,0),"")</f>
        <v>Headphones</v>
      </c>
      <c r="H12" s="7">
        <v>46024</v>
      </c>
      <c r="I12" s="1">
        <f>IFERROR(VLOOKUP(sales_table[[#This Row],[HSN Code]],Table6[#All],6,0),"")</f>
        <v>0</v>
      </c>
      <c r="J12" s="1">
        <v>0</v>
      </c>
      <c r="K12" s="1">
        <f>IFERROR(VLOOKUP(sales_table[[#This Row],[HSN Code]],Products!D5:G15,4,0),"")</f>
        <v>958.8</v>
      </c>
      <c r="L12" s="1">
        <f>IFERROR(sales_table[[#This Row],[Price]]*sales_table[[#This Row],[Units]],"")</f>
        <v>0</v>
      </c>
    </row>
    <row r="13" spans="2:12" x14ac:dyDescent="0.3">
      <c r="D13" s="4">
        <v>106</v>
      </c>
      <c r="E13" s="1" t="str">
        <f>IFERROR(VLOOKUP(sales_table[[#This Row],[Cust_ID]],Cust_Data[#All],2,0),"")</f>
        <v>Jain Tel.</v>
      </c>
      <c r="F13" s="1" t="s">
        <v>31</v>
      </c>
      <c r="G13" s="1" t="str">
        <f>IFERROR(VLOOKUP(sales_table[[#This Row],[HSN Code]],Products!D12:G22,2,0),"")</f>
        <v>Rgb Keyboard</v>
      </c>
      <c r="H13" s="7">
        <v>6</v>
      </c>
      <c r="I13" s="1">
        <f>IFERROR(VLOOKUP(sales_table[[#This Row],[HSN Code]],Table6[#All],6,0),"")</f>
        <v>27</v>
      </c>
      <c r="J13" s="1">
        <v>2</v>
      </c>
      <c r="K13" s="1">
        <f>IFERROR(VLOOKUP(sales_table[[#This Row],[HSN Code]],Products!D6:G16,4,0),"")</f>
        <v>408</v>
      </c>
      <c r="L13" s="1">
        <f>IFERROR(sales_table[[#This Row],[Price]]*sales_table[[#This Row],[Units]],"")</f>
        <v>816</v>
      </c>
    </row>
    <row r="14" spans="2:12" x14ac:dyDescent="0.3">
      <c r="D14" s="4">
        <v>100</v>
      </c>
      <c r="E14" s="1" t="str">
        <f>IFERROR(VLOOKUP(sales_table[[#This Row],[Cust_ID]],Cust_Data[#All],2,0),"")</f>
        <v>Ram Sales</v>
      </c>
      <c r="F14" s="1" t="s">
        <v>32</v>
      </c>
      <c r="G14" s="1" t="str">
        <f>IFERROR(VLOOKUP(sales_table[[#This Row],[HSN Code]],Products!D7:G17,2,0),"")</f>
        <v>Camera</v>
      </c>
      <c r="H14" s="7">
        <v>46025</v>
      </c>
      <c r="I14" s="1">
        <f>IFERROR(VLOOKUP(sales_table[[#This Row],[HSN Code]],Table6[#All],6,0),"")</f>
        <v>26</v>
      </c>
      <c r="J14" s="1">
        <v>8</v>
      </c>
      <c r="K14" s="1">
        <f>IFERROR(VLOOKUP(sales_table[[#This Row],[HSN Code]],Products!D7:G17,4,0),"")</f>
        <v>62400</v>
      </c>
      <c r="L14" s="1">
        <f>IFERROR(sales_table[[#This Row],[Price]]*sales_table[[#This Row],[Units]],"")</f>
        <v>499200</v>
      </c>
    </row>
    <row r="15" spans="2:12" x14ac:dyDescent="0.3">
      <c r="D15" s="4">
        <v>105</v>
      </c>
      <c r="E15" s="1" t="str">
        <f>IFERROR(VLOOKUP(sales_table[[#This Row],[Cust_ID]],Cust_Data[#All],2,0),"")</f>
        <v>Amit</v>
      </c>
      <c r="F15" s="1" t="s">
        <v>29</v>
      </c>
      <c r="G15" s="1" t="str">
        <f>IFERROR(VLOOKUP(sales_table[[#This Row],[HSN Code]],Products!D7:G17,2,0),"")</f>
        <v>Desktop</v>
      </c>
      <c r="H15" s="7">
        <v>46054</v>
      </c>
      <c r="I15" s="1">
        <f>IFERROR(VLOOKUP(sales_table[[#This Row],[HSN Code]],Table6[#All],6,0),"")</f>
        <v>206</v>
      </c>
      <c r="J15" s="1">
        <v>2</v>
      </c>
      <c r="K15" s="1">
        <f>IFERROR(VLOOKUP(sales_table[[#This Row],[HSN Code]],Products!D8:G18,4,0),"")</f>
        <v>25200</v>
      </c>
      <c r="L15" s="1">
        <f>IFERROR(sales_table[[#This Row],[Price]]*sales_table[[#This Row],[Units]],"")</f>
        <v>50400</v>
      </c>
    </row>
    <row r="16" spans="2:12" x14ac:dyDescent="0.3">
      <c r="D16" s="4">
        <v>103</v>
      </c>
      <c r="E16" s="1" t="str">
        <f>IFERROR(VLOOKUP(sales_table[[#This Row],[Cust_ID]],Cust_Data[#All],2,0),"")</f>
        <v>99store</v>
      </c>
      <c r="F16" s="1" t="s">
        <v>26</v>
      </c>
      <c r="G16" s="1" t="str">
        <f>IFERROR(VLOOKUP(sales_table[[#This Row],[HSN Code]],Products!D7:G17,2,0),"")</f>
        <v>Smart Watch</v>
      </c>
      <c r="H16" s="7">
        <v>46055</v>
      </c>
      <c r="I16" s="1">
        <f>IFERROR(VLOOKUP(sales_table[[#This Row],[HSN Code]],Table6[#All],6,0),"")</f>
        <v>5</v>
      </c>
      <c r="J16" s="1">
        <v>8</v>
      </c>
      <c r="K16" s="1">
        <f>IFERROR(VLOOKUP(sales_table[[#This Row],[HSN Code]],Products!D7:G17,4,0),"")</f>
        <v>1176</v>
      </c>
      <c r="L16" s="1">
        <f>IFERROR(sales_table[[#This Row],[Price]]*sales_table[[#This Row],[Units]],"")</f>
        <v>9408</v>
      </c>
    </row>
    <row r="17" spans="4:12" x14ac:dyDescent="0.3">
      <c r="D17" s="4">
        <v>105</v>
      </c>
      <c r="E17" s="1" t="str">
        <f>IFERROR(VLOOKUP(sales_table[[#This Row],[Cust_ID]],Cust_Data[#All],2,0),"")</f>
        <v>Amit</v>
      </c>
      <c r="F17" s="1" t="s">
        <v>32</v>
      </c>
      <c r="G17" s="1" t="str">
        <f>IFERROR(VLOOKUP(sales_table[[#This Row],[HSN Code]],Products!D7:G17,2,0),"")</f>
        <v>Camera</v>
      </c>
      <c r="H17" s="7">
        <v>46056</v>
      </c>
      <c r="I17" s="1">
        <f>IFERROR(VLOOKUP(sales_table[[#This Row],[HSN Code]],Table6[#All],6,0),"")</f>
        <v>26</v>
      </c>
      <c r="J17" s="1">
        <v>5</v>
      </c>
      <c r="K17" s="1">
        <f>IFERROR(VLOOKUP(sales_table[[#This Row],[HSN Code]],Products!D10:G20,4,0),"")</f>
        <v>62400</v>
      </c>
      <c r="L17" s="1">
        <f>IFERROR(sales_table[[#This Row],[Price]]*sales_table[[#This Row],[Units]],"")</f>
        <v>312000</v>
      </c>
    </row>
    <row r="18" spans="4:12" x14ac:dyDescent="0.3">
      <c r="D18" s="4">
        <v>104</v>
      </c>
      <c r="E18" s="1" t="str">
        <f>IFERROR(VLOOKUP(sales_table[[#This Row],[Cust_ID]],Cust_Data[#All],2,0),"")</f>
        <v>Rajesh Kumar</v>
      </c>
      <c r="F18" s="1" t="s">
        <v>26</v>
      </c>
      <c r="G18" s="1" t="str">
        <f>IFERROR(VLOOKUP(sales_table[[#This Row],[HSN Code]],Products!D7:G17,2,0),"")</f>
        <v>Smart Watch</v>
      </c>
      <c r="H18" s="7">
        <v>46082</v>
      </c>
      <c r="I18" s="1">
        <f>IFERROR(VLOOKUP(sales_table[[#This Row],[HSN Code]],Table6[#All],6,0),"")</f>
        <v>5</v>
      </c>
      <c r="J18" s="1">
        <v>10</v>
      </c>
      <c r="K18" s="1">
        <f>IFERROR(VLOOKUP(sales_table[[#This Row],[HSN Code]],Products!D7:G17,4,0),"")</f>
        <v>1176</v>
      </c>
      <c r="L18" s="1">
        <f>IFERROR(sales_table[[#This Row],[Price]]*sales_table[[#This Row],[Units]],"")</f>
        <v>11760</v>
      </c>
    </row>
    <row r="19" spans="4:12" x14ac:dyDescent="0.3">
      <c r="D19" s="4">
        <v>106</v>
      </c>
      <c r="E19" s="1" t="str">
        <f>IFERROR(VLOOKUP(sales_table[[#This Row],[Cust_ID]],Cust_Data[#All],2,0),"")</f>
        <v>Jain Tel.</v>
      </c>
      <c r="F19" s="1" t="s">
        <v>30</v>
      </c>
      <c r="G19" s="1" t="str">
        <f>IFERROR(VLOOKUP(sales_table[[#This Row],[HSN Code]],Products!D7:G17,2,0),"")</f>
        <v>Mouse</v>
      </c>
      <c r="H19" s="7">
        <v>46083</v>
      </c>
      <c r="I19" s="1">
        <f>IFERROR(VLOOKUP(sales_table[[#This Row],[HSN Code]],Table6[#All],6,0),"")</f>
        <v>46</v>
      </c>
      <c r="J19" s="1">
        <v>9</v>
      </c>
      <c r="K19" s="1">
        <f>IFERROR(VLOOKUP(sales_table[[#This Row],[HSN Code]],Products!D12:G22,4,0),"")</f>
        <v>240</v>
      </c>
      <c r="L19" s="1">
        <f>IFERROR(sales_table[[#This Row],[Price]]*sales_table[[#This Row],[Units]],"")</f>
        <v>2160</v>
      </c>
    </row>
    <row r="20" spans="4:12" x14ac:dyDescent="0.3">
      <c r="D20" s="4">
        <v>102</v>
      </c>
      <c r="E20" s="1" t="str">
        <f>IFERROR(VLOOKUP(sales_table[[#This Row],[Cust_ID]],Cust_Data[#All],2,0),"")</f>
        <v>MK Tech.</v>
      </c>
      <c r="F20" s="1" t="s">
        <v>27</v>
      </c>
      <c r="G20" s="1" t="str">
        <f>IFERROR(VLOOKUP(sales_table[[#This Row],[HSN Code]],Products!D7:G17,2,0),"")</f>
        <v xml:space="preserve">Laptop HP </v>
      </c>
      <c r="H20" s="7">
        <v>46084</v>
      </c>
      <c r="I20" s="1">
        <f>IFERROR(VLOOKUP(sales_table[[#This Row],[HSN Code]],Table6[#All],6,0),"")</f>
        <v>59</v>
      </c>
      <c r="J20" s="1">
        <v>3</v>
      </c>
      <c r="K20" s="1">
        <f>IFERROR(VLOOKUP(sales_table[[#This Row],[HSN Code]],Products!D7:G17,4,0),"")</f>
        <v>41400</v>
      </c>
      <c r="L20" s="1">
        <f>IFERROR(sales_table[[#This Row],[Price]]*sales_table[[#This Row],[Units]],"")</f>
        <v>124200</v>
      </c>
    </row>
    <row r="21" spans="4:12" x14ac:dyDescent="0.3">
      <c r="D21" s="4">
        <v>101</v>
      </c>
      <c r="E21" s="1" t="str">
        <f>IFERROR(VLOOKUP(sales_table[[#This Row],[Cust_ID]],Cust_Data[#All],2,0),"")</f>
        <v>Atul Ltd.</v>
      </c>
      <c r="F21" s="1" t="s">
        <v>32</v>
      </c>
      <c r="G21" s="1" t="str">
        <f>IFERROR(VLOOKUP(sales_table[[#This Row],[HSN Code]],Products!D7:G17,2,0),"")</f>
        <v>Camera</v>
      </c>
      <c r="H21" s="7">
        <v>46085</v>
      </c>
      <c r="I21" s="1">
        <f>IFERROR(VLOOKUP(sales_table[[#This Row],[HSN Code]],Table6[#All],6,0),"")</f>
        <v>26</v>
      </c>
      <c r="J21" s="1">
        <v>11</v>
      </c>
      <c r="K21" s="1">
        <f>IFERROR(VLOOKUP(sales_table[[#This Row],[HSN Code]],Products!D14:G24,4,0),"")</f>
        <v>62400</v>
      </c>
      <c r="L21" s="1">
        <f>IFERROR(sales_table[[#This Row],[Price]]*sales_table[[#This Row],[Units]],"")</f>
        <v>686400</v>
      </c>
    </row>
    <row r="22" spans="4:12" x14ac:dyDescent="0.3">
      <c r="D22" s="4">
        <v>104</v>
      </c>
      <c r="E22" s="1" t="str">
        <f>IFERROR(VLOOKUP(sales_table[[#This Row],[Cust_ID]],Cust_Data[#All],2,0),"")</f>
        <v>Rajesh Kumar</v>
      </c>
      <c r="F22" s="1" t="s">
        <v>30</v>
      </c>
      <c r="G22" s="1" t="str">
        <f>IFERROR(VLOOKUP(sales_table[[#This Row],[HSN Code]],Products!D7:G17,2,0),"")</f>
        <v>Mouse</v>
      </c>
      <c r="H22" s="7">
        <v>46113</v>
      </c>
      <c r="I22" s="1">
        <f>IFERROR(VLOOKUP(sales_table[[#This Row],[HSN Code]],Table6[#All],6,0),"")</f>
        <v>46</v>
      </c>
      <c r="J22" s="1">
        <v>1</v>
      </c>
      <c r="K22" s="1">
        <f>IFERROR(VLOOKUP(sales_table[[#This Row],[HSN Code]],Products!D7:G17,4,0),"")</f>
        <v>240</v>
      </c>
      <c r="L22" s="1">
        <f>IFERROR(sales_table[[#This Row],[Price]]*sales_table[[#This Row],[Units]],"")</f>
        <v>240</v>
      </c>
    </row>
    <row r="23" spans="4:12" x14ac:dyDescent="0.3">
      <c r="D23" s="4">
        <v>101</v>
      </c>
      <c r="E23" s="1" t="str">
        <f>IFERROR(VLOOKUP(sales_table[[#This Row],[Cust_ID]],Cust_Data[#All],2,0),"")</f>
        <v>Atul Ltd.</v>
      </c>
      <c r="F23" s="1" t="s">
        <v>34</v>
      </c>
      <c r="G23" s="1" t="str">
        <f>IFERROR(VLOOKUP(sales_table[[#This Row],[HSN Code]],Products!D7:G17,2,0),"")</f>
        <v>Speakers</v>
      </c>
      <c r="H23" s="7">
        <v>46114</v>
      </c>
      <c r="I23" s="1">
        <f>IFERROR(VLOOKUP(sales_table[[#This Row],[HSN Code]],Table6[#All],6,0),"")</f>
        <v>85</v>
      </c>
      <c r="J23" s="1">
        <v>5</v>
      </c>
      <c r="K23" s="1">
        <f>IFERROR(VLOOKUP(sales_table[[#This Row],[HSN Code]],Products!D16:G26,4,0),"")</f>
        <v>804</v>
      </c>
      <c r="L23" s="1">
        <f>IFERROR(sales_table[[#This Row],[Price]]*sales_table[[#This Row],[Units]],"")</f>
        <v>4020</v>
      </c>
    </row>
    <row r="24" spans="4:12" x14ac:dyDescent="0.3">
      <c r="E24" s="1" t="str">
        <f>IFERROR(VLOOKUP(sales_table[[#This Row],[Cust_ID]],Cust_Data[#All],2,0),"")</f>
        <v/>
      </c>
      <c r="G24" s="1" t="str">
        <f>IFERROR(VLOOKUP(sales_table[[#This Row],[HSN Code]],Products!D23:G33,2,0),"")</f>
        <v/>
      </c>
      <c r="I24" s="1" t="str">
        <f>IFERROR(VLOOKUP(sales_table[[#This Row],[HSN Code]],Table6[#All],6,0),"")</f>
        <v/>
      </c>
      <c r="K24" s="1" t="str">
        <f>IFERROR(VLOOKUP(sales_table[[#This Row],[HSN Code]],Products!D17:G27,4,0),"")</f>
        <v/>
      </c>
      <c r="L24" s="1" t="str">
        <f>IFERROR(sales_table[[#This Row],[Price]]*sales_table[[#This Row],[Units]],"")</f>
        <v/>
      </c>
    </row>
    <row r="25" spans="4:12" x14ac:dyDescent="0.3">
      <c r="E25" s="1" t="str">
        <f>IFERROR(VLOOKUP(sales_table[[#This Row],[Cust_ID]],Cust_Data[#All],2,0),"")</f>
        <v/>
      </c>
      <c r="G25" s="1" t="str">
        <f>IFERROR(VLOOKUP(sales_table[[#This Row],[HSN Code]],Products!D24:G34,2,0),"")</f>
        <v/>
      </c>
      <c r="I25" s="1" t="str">
        <f>IFERROR(VLOOKUP(sales_table[[#This Row],[HSN Code]],Table6[#All],6,0),"")</f>
        <v/>
      </c>
      <c r="K25" s="1" t="str">
        <f>IFERROR(VLOOKUP(sales_table[[#This Row],[HSN Code]],Products!D18:G28,4,0),"")</f>
        <v/>
      </c>
      <c r="L25" s="1" t="str">
        <f>IFERROR(sales_table[[#This Row],[Price]]*sales_table[[#This Row],[Units]],"")</f>
        <v/>
      </c>
    </row>
  </sheetData>
  <dataValidations count="2">
    <dataValidation type="list" allowBlank="1" showInputMessage="1" showErrorMessage="1" sqref="D8:D25" xr:uid="{A8C57F78-F204-4D0A-A241-DC0C67D26BD3}">
      <formula1>Cust_ID</formula1>
    </dataValidation>
    <dataValidation type="list" allowBlank="1" showInputMessage="1" showErrorMessage="1" sqref="F8:F25" xr:uid="{E71C3A95-BC5B-4C25-92A2-62B1D8A733A4}">
      <formula1>hsncode</formula1>
    </dataValidation>
  </dataValidations>
  <pageMargins left="0.7" right="0.7" top="0.75" bottom="0.75" header="0.3" footer="0.3"/>
  <ignoredErrors>
    <ignoredError sqref="G14:G23 K20 K18 K16 K22" calculatedColumn="1"/>
  </ignoredErrors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1DBD-A84F-4DE9-9AC1-9B461D26DE08}">
  <dimension ref="B1:K27"/>
  <sheetViews>
    <sheetView topLeftCell="A2" workbookViewId="0">
      <selection activeCell="V21" sqref="V21"/>
    </sheetView>
  </sheetViews>
  <sheetFormatPr defaultRowHeight="14.4" x14ac:dyDescent="0.3"/>
  <cols>
    <col min="1" max="1" width="5.109375" style="1" customWidth="1"/>
    <col min="2" max="2" width="21.88671875" style="2" customWidth="1"/>
    <col min="3" max="3" width="3.109375" style="1" customWidth="1"/>
    <col min="4" max="4" width="12.6640625" style="1" customWidth="1"/>
    <col min="5" max="5" width="15.44140625" style="1" customWidth="1"/>
    <col min="6" max="6" width="10.77734375" style="1" customWidth="1"/>
    <col min="7" max="7" width="10.5546875" style="1" customWidth="1"/>
    <col min="8" max="8" width="10.109375" style="1" customWidth="1"/>
    <col min="9" max="9" width="9.77734375" style="1" customWidth="1"/>
    <col min="10" max="10" width="14.88671875" style="1" customWidth="1"/>
    <col min="11" max="11" width="25.88671875" style="1" customWidth="1"/>
    <col min="12" max="16384" width="8.88671875" style="1"/>
  </cols>
  <sheetData>
    <row r="1" spans="2:11" x14ac:dyDescent="0.3">
      <c r="B1" s="1"/>
    </row>
    <row r="7" spans="2:11" x14ac:dyDescent="0.3">
      <c r="D7" s="1" t="s">
        <v>74</v>
      </c>
      <c r="E7" s="1" t="s">
        <v>75</v>
      </c>
      <c r="F7" s="1" t="s">
        <v>46</v>
      </c>
      <c r="G7" s="1" t="s">
        <v>76</v>
      </c>
      <c r="H7" s="1" t="s">
        <v>77</v>
      </c>
      <c r="I7" s="1" t="s">
        <v>78</v>
      </c>
      <c r="J7" s="1" t="s">
        <v>79</v>
      </c>
      <c r="K7" s="1" t="s">
        <v>94</v>
      </c>
    </row>
    <row r="8" spans="2:11" x14ac:dyDescent="0.3">
      <c r="D8" s="1" t="str">
        <f>IFERROR(Product_data[[#This Row],[HSN Code]],"")</f>
        <v>N1001</v>
      </c>
      <c r="E8" s="1" t="str">
        <f>Product_data[[#This Row],[Product Name]]</f>
        <v>Smart Watch</v>
      </c>
      <c r="F8" s="1">
        <f>Product_data[[#This Row],[Cost]]</f>
        <v>980</v>
      </c>
      <c r="G8" s="1">
        <f>SUMIF(purchase_data[Product Name],Table6[[#This Row],[Product Name ]],purchase_data[Units])</f>
        <v>23</v>
      </c>
      <c r="H8" s="1">
        <f>SUMIF(sales_table[Product Name],Table6[[#This Row],[Product Name ]],sales_table[Units])</f>
        <v>18</v>
      </c>
      <c r="I8" s="1">
        <f>Table6[[#This Row],[P Units]]-Table6[[#This Row],[S Units]]</f>
        <v>5</v>
      </c>
      <c r="J8" s="1">
        <f>IFERROR(Table6[[#This Row],[Cost]]*Table6[[#This Row],[Stock]],"")</f>
        <v>4900</v>
      </c>
      <c r="K8" s="1" t="str">
        <f>IFERROR(IF(Table6[[#This Row],[Stock]]&lt;5,"📞 "&amp;Table6[[#This Row],[Product Name ]]&amp;" Needs to re-order ! PH "&amp;VLOOKUP(Table6[[#This Row],[HSN Code ]],Vendorsd_data[#All],4,0),""),"")</f>
        <v/>
      </c>
    </row>
    <row r="9" spans="2:11" x14ac:dyDescent="0.3">
      <c r="D9" s="1" t="str">
        <f>IFERROR(Product_data[[#This Row],[HSN Code]],"")</f>
        <v>N1002</v>
      </c>
      <c r="E9" s="1" t="str">
        <f>Product_data[[#This Row],[Product Name]]</f>
        <v xml:space="preserve">Laptop HP </v>
      </c>
      <c r="F9" s="1">
        <f>Product_data[[#This Row],[Cost]]</f>
        <v>34500</v>
      </c>
      <c r="G9" s="1">
        <f>SUMIF(purchase_data[Product Name],Table6[[#This Row],[Product Name ]],purchase_data[Units])</f>
        <v>64</v>
      </c>
      <c r="H9" s="1">
        <f>SUMIF(sales_table[Product Name],Table6[[#This Row],[Product Name ]],sales_table[Units])</f>
        <v>5</v>
      </c>
      <c r="I9" s="1">
        <f>Table6[[#This Row],[P Units]]-Table6[[#This Row],[S Units]]</f>
        <v>59</v>
      </c>
      <c r="J9" s="1">
        <f>IFERROR(Table6[[#This Row],[Cost]]*Table6[[#This Row],[Stock]],"")</f>
        <v>2035500</v>
      </c>
      <c r="K9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0" spans="2:11" x14ac:dyDescent="0.3">
      <c r="D10" s="1" t="str">
        <f>IFERROR(Product_data[[#This Row],[HSN Code]],"")</f>
        <v>N1003</v>
      </c>
      <c r="E10" s="1" t="str">
        <f>Product_data[[#This Row],[Product Name]]</f>
        <v>Wireless Printer</v>
      </c>
      <c r="F10" s="1">
        <f>Product_data[[#This Row],[Cost]]</f>
        <v>4600</v>
      </c>
      <c r="G10" s="1">
        <f>SUMIF(purchase_data[Product Name],Table6[[#This Row],[Product Name ]],purchase_data[Units])</f>
        <v>10</v>
      </c>
      <c r="H10" s="1">
        <f>SUMIF(sales_table[Product Name],Table6[[#This Row],[Product Name ]],sales_table[Units])</f>
        <v>0</v>
      </c>
      <c r="I10" s="1">
        <f>Table6[[#This Row],[P Units]]-Table6[[#This Row],[S Units]]</f>
        <v>10</v>
      </c>
      <c r="J10" s="1">
        <f>IFERROR(Table6[[#This Row],[Cost]]*Table6[[#This Row],[Stock]],"")</f>
        <v>46000</v>
      </c>
      <c r="K10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1" spans="2:11" x14ac:dyDescent="0.3">
      <c r="D11" s="1" t="str">
        <f>IFERROR(Product_data[[#This Row],[HSN Code]],"")</f>
        <v>N1004</v>
      </c>
      <c r="E11" s="1" t="str">
        <f>Product_data[[#This Row],[Product Name]]</f>
        <v>Desktop</v>
      </c>
      <c r="F11" s="1">
        <f>Product_data[[#This Row],[Cost]]</f>
        <v>21000</v>
      </c>
      <c r="G11" s="1">
        <f>SUMIF(purchase_data[Product Name],Table6[[#This Row],[Product Name ]],purchase_data[Units])</f>
        <v>210</v>
      </c>
      <c r="H11" s="1">
        <f>SUMIF(sales_table[Product Name],Table6[[#This Row],[Product Name ]],sales_table[Units])</f>
        <v>4</v>
      </c>
      <c r="I11" s="1">
        <f>Table6[[#This Row],[P Units]]-Table6[[#This Row],[S Units]]</f>
        <v>206</v>
      </c>
      <c r="J11" s="1">
        <f>IFERROR(Table6[[#This Row],[Cost]]*Table6[[#This Row],[Stock]],"")</f>
        <v>4326000</v>
      </c>
      <c r="K11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2" spans="2:11" x14ac:dyDescent="0.3">
      <c r="D12" s="1" t="str">
        <f>IFERROR(Product_data[[#This Row],[HSN Code]],"")</f>
        <v>N1005</v>
      </c>
      <c r="E12" s="1" t="str">
        <f>Product_data[[#This Row],[Product Name]]</f>
        <v>Mouse</v>
      </c>
      <c r="F12" s="1">
        <f>Product_data[[#This Row],[Cost]]</f>
        <v>200</v>
      </c>
      <c r="G12" s="1">
        <f>SUMIF(purchase_data[Product Name],Table6[[#This Row],[Product Name ]],purchase_data[Units])</f>
        <v>57</v>
      </c>
      <c r="H12" s="1">
        <f>SUMIF(sales_table[Product Name],Table6[[#This Row],[Product Name ]],sales_table[Units])</f>
        <v>11</v>
      </c>
      <c r="I12" s="1">
        <f>Table6[[#This Row],[P Units]]-Table6[[#This Row],[S Units]]</f>
        <v>46</v>
      </c>
      <c r="J12" s="1">
        <f>IFERROR(Table6[[#This Row],[Cost]]*Table6[[#This Row],[Stock]],"")</f>
        <v>9200</v>
      </c>
      <c r="K12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3" spans="2:11" x14ac:dyDescent="0.3">
      <c r="D13" s="1" t="str">
        <f>IFERROR(Product_data[[#This Row],[HSN Code]],"")</f>
        <v>N1006</v>
      </c>
      <c r="E13" s="1" t="str">
        <f>Product_data[[#This Row],[Product Name]]</f>
        <v>Rgb Keyboard</v>
      </c>
      <c r="F13" s="1">
        <f>Product_data[[#This Row],[Cost]]</f>
        <v>340</v>
      </c>
      <c r="G13" s="1">
        <f>SUMIF(purchase_data[Product Name],Table6[[#This Row],[Product Name ]],purchase_data[Units])</f>
        <v>54</v>
      </c>
      <c r="H13" s="1">
        <f>SUMIF(sales_table[Product Name],Table6[[#This Row],[Product Name ]],sales_table[Units])</f>
        <v>27</v>
      </c>
      <c r="I13" s="1">
        <f>Table6[[#This Row],[P Units]]-Table6[[#This Row],[S Units]]</f>
        <v>27</v>
      </c>
      <c r="J13" s="1">
        <f>IFERROR(Table6[[#This Row],[Cost]]*Table6[[#This Row],[Stock]],"")</f>
        <v>9180</v>
      </c>
      <c r="K13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4" spans="2:11" x14ac:dyDescent="0.3">
      <c r="D14" s="1" t="str">
        <f>IFERROR(Product_data[[#This Row],[HSN Code]],"")</f>
        <v>N1007</v>
      </c>
      <c r="E14" s="1" t="str">
        <f>Product_data[[#This Row],[Product Name]]</f>
        <v>Camera</v>
      </c>
      <c r="F14" s="1">
        <f>Product_data[[#This Row],[Cost]]</f>
        <v>52000</v>
      </c>
      <c r="G14" s="1">
        <f>SUMIF(purchase_data[Product Name],Table6[[#This Row],[Product Name ]],purchase_data[Units])</f>
        <v>50</v>
      </c>
      <c r="H14" s="1">
        <f>SUMIF(sales_table[Product Name],Table6[[#This Row],[Product Name ]],sales_table[Units])</f>
        <v>24</v>
      </c>
      <c r="I14" s="1">
        <f>Table6[[#This Row],[P Units]]-Table6[[#This Row],[S Units]]</f>
        <v>26</v>
      </c>
      <c r="J14" s="1">
        <f>IFERROR(Table6[[#This Row],[Cost]]*Table6[[#This Row],[Stock]],"")</f>
        <v>1352000</v>
      </c>
      <c r="K14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5" spans="2:11" x14ac:dyDescent="0.3">
      <c r="D15" s="1" t="str">
        <f>IFERROR(Product_data[[#This Row],[HSN Code]],"")</f>
        <v>N1008</v>
      </c>
      <c r="E15" s="1" t="str">
        <f>Product_data[[#This Row],[Product Name]]</f>
        <v>Headphones</v>
      </c>
      <c r="F15" s="1">
        <f>Product_data[[#This Row],[Cost]]</f>
        <v>799</v>
      </c>
      <c r="G15" s="1">
        <f>SUMIF(purchase_data[Product Name],Table6[[#This Row],[Product Name ]],purchase_data[Units])</f>
        <v>0</v>
      </c>
      <c r="H15" s="1">
        <f>SUMIF(sales_table[Product Name],Table6[[#This Row],[Product Name ]],sales_table[Units])</f>
        <v>0</v>
      </c>
      <c r="I15" s="1">
        <v>0</v>
      </c>
      <c r="J15" s="1">
        <f>IFERROR(Table6[[#This Row],[Cost]]*Table6[[#This Row],[Stock]],"")</f>
        <v>0</v>
      </c>
      <c r="K15" s="1" t="str">
        <f>IFERROR(IF(Table6[[#This Row],[Stock]]&lt;5,"📞 "&amp;Table6[[#This Row],[Product Name ]]&amp;" Needs to re-order ! PH "&amp;VLOOKUP(Table6[[#This Row],[HSN Code ]],Vendorsd_data[#All],4,0),""),"")</f>
        <v>📞 Headphones Needs to re-order ! PH 9814xxxxxx</v>
      </c>
    </row>
    <row r="16" spans="2:11" x14ac:dyDescent="0.3">
      <c r="D16" s="1" t="str">
        <f>IFERROR(Product_data[[#This Row],[HSN Code]],"")</f>
        <v>N1009</v>
      </c>
      <c r="E16" s="1" t="str">
        <f>Product_data[[#This Row],[Product Name]]</f>
        <v>Speakers</v>
      </c>
      <c r="F16" s="1">
        <f>Product_data[[#This Row],[Cost]]</f>
        <v>670</v>
      </c>
      <c r="G16" s="1">
        <f>SUMIF(purchase_data[Product Name],Table6[[#This Row],[Product Name ]],purchase_data[Units])</f>
        <v>90</v>
      </c>
      <c r="H16" s="1">
        <f>SUMIF(sales_table[Product Name],Table6[[#This Row],[Product Name ]],sales_table[Units])</f>
        <v>5</v>
      </c>
      <c r="I16" s="1">
        <f>Table6[[#This Row],[P Units]]-Table6[[#This Row],[S Units]]</f>
        <v>85</v>
      </c>
      <c r="J16" s="1">
        <f>IFERROR(Table6[[#This Row],[Cost]]*Table6[[#This Row],[Stock]],"")</f>
        <v>56950</v>
      </c>
      <c r="K16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7" spans="4:11" x14ac:dyDescent="0.3">
      <c r="D17" s="1" t="str">
        <f>IFERROR(Product_data[[#This Row],[HSN Code]],"")</f>
        <v>N1010</v>
      </c>
      <c r="E17" s="1" t="str">
        <f>Product_data[[#This Row],[Product Name]]</f>
        <v>Tablets</v>
      </c>
      <c r="F17" s="1">
        <f>Product_data[[#This Row],[Cost]]</f>
        <v>23500</v>
      </c>
      <c r="G17" s="1">
        <f>SUMIF(purchase_data[Product Name],Table6[[#This Row],[Product Name ]],purchase_data[Units])</f>
        <v>20</v>
      </c>
      <c r="H17" s="1">
        <f>SUMIF(sales_table[Product Name],Table6[[#This Row],[Product Name ]],sales_table[Units])</f>
        <v>0</v>
      </c>
      <c r="I17" s="1">
        <f>Table6[[#This Row],[P Units]]-Table6[[#This Row],[S Units]]</f>
        <v>20</v>
      </c>
      <c r="J17" s="1">
        <f>IFERROR(Table6[[#This Row],[Cost]]*Table6[[#This Row],[Stock]],"")</f>
        <v>470000</v>
      </c>
      <c r="K17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8" spans="4:11" x14ac:dyDescent="0.3">
      <c r="D18" s="1" t="str">
        <f>IFERROR(Product_data[[#This Row],[HSN Code]],"")</f>
        <v/>
      </c>
      <c r="E18" s="1" t="str">
        <f>IFERROR(Product_data[[#This Row],[Product Name]],"")</f>
        <v/>
      </c>
      <c r="F18" s="1" t="str">
        <f>IFERROR(Product_data[[#This Row],[Cost]],"")</f>
        <v/>
      </c>
      <c r="G18" s="1">
        <f>SUMIF(purchase_data[Product Name],Table6[[#This Row],[Product Name ]],purchase_data[Units])</f>
        <v>0</v>
      </c>
      <c r="H18" s="1">
        <f>SUMIF(sales_table[Product Name],Table6[[#This Row],[Product Name ]],sales_table[Units])</f>
        <v>0</v>
      </c>
      <c r="I18" s="1">
        <f>Table6[[#This Row],[P Units]]-Table6[[#This Row],[S Units]]</f>
        <v>0</v>
      </c>
      <c r="J18" s="1" t="str">
        <f>IFERROR(Table6[[#This Row],[Cost]]*Table6[[#This Row],[Stock]],"")</f>
        <v/>
      </c>
      <c r="K18" s="1" t="str">
        <f>IFERROR(IF(Table6[[#This Row],[Stock]]&lt;5,"📞 "&amp;Table6[[#This Row],[Product Name ]]&amp;" Needs to re-order ! PH "&amp;VLOOKUP(Table6[[#This Row],[HSN Code ]],Vendorsd_data[#All],4,0),""),"")</f>
        <v/>
      </c>
    </row>
    <row r="19" spans="4:11" x14ac:dyDescent="0.3">
      <c r="D19" s="1" t="str">
        <f>IFERROR(Product_data[[#This Row],[HSN Code]],"")</f>
        <v/>
      </c>
      <c r="E19" s="1" t="str">
        <f>IFERROR(Product_data[[#This Row],[Product Name]],"")</f>
        <v/>
      </c>
      <c r="F19" s="1" t="str">
        <f>IFERROR(Product_data[[#This Row],[Cost]],"")</f>
        <v/>
      </c>
      <c r="G19" s="1">
        <f>SUMIF(purchase_data[Product Name],Table6[[#This Row],[Product Name ]],purchase_data[Units])</f>
        <v>0</v>
      </c>
      <c r="H19" s="1">
        <f>SUMIF(sales_table[Product Name],Table6[[#This Row],[Product Name ]],sales_table[Units])</f>
        <v>0</v>
      </c>
      <c r="I19" s="1">
        <f>Table6[[#This Row],[P Units]]-Table6[[#This Row],[S Units]]</f>
        <v>0</v>
      </c>
      <c r="J19" s="1" t="str">
        <f>IFERROR(Table6[[#This Row],[Cost]]*Table6[[#This Row],[Stock]],"")</f>
        <v/>
      </c>
      <c r="K19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0" spans="4:11" x14ac:dyDescent="0.3">
      <c r="D20" s="1" t="str">
        <f>IFERROR(Product_data[[#This Row],[HSN Code]],"")</f>
        <v/>
      </c>
      <c r="E20" s="1" t="str">
        <f>IFERROR(Product_data[[#This Row],[Product Name]],"")</f>
        <v/>
      </c>
      <c r="F20" s="1" t="str">
        <f>IFERROR(Product_data[[#This Row],[Cost]],"")</f>
        <v/>
      </c>
      <c r="G20" s="1">
        <f>SUMIF(purchase_data[Product Name],Table6[[#This Row],[Product Name ]],purchase_data[Units])</f>
        <v>0</v>
      </c>
      <c r="H20" s="1">
        <f>SUMIF(sales_table[Product Name],Table6[[#This Row],[Product Name ]],sales_table[Units])</f>
        <v>0</v>
      </c>
      <c r="I20" s="1">
        <f>Table6[[#This Row],[P Units]]-Table6[[#This Row],[S Units]]</f>
        <v>0</v>
      </c>
      <c r="J20" s="1" t="str">
        <f>IFERROR(Table6[[#This Row],[Cost]]*Table6[[#This Row],[Stock]],"")</f>
        <v/>
      </c>
      <c r="K20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1" spans="4:11" x14ac:dyDescent="0.3">
      <c r="D21" s="1" t="str">
        <f>IFERROR(Product_data[[#This Row],[HSN Code]],"")</f>
        <v/>
      </c>
      <c r="E21" s="1" t="str">
        <f>IFERROR(Product_data[[#This Row],[Product Name]],"")</f>
        <v/>
      </c>
      <c r="F21" s="1" t="str">
        <f>IFERROR(Product_data[[#This Row],[Cost]],"")</f>
        <v/>
      </c>
      <c r="G21" s="1">
        <f>SUMIF(purchase_data[Product Name],Table6[[#This Row],[Product Name ]],purchase_data[Units])</f>
        <v>0</v>
      </c>
      <c r="H21" s="1">
        <f>SUMIF(sales_table[Product Name],Table6[[#This Row],[Product Name ]],sales_table[Units])</f>
        <v>0</v>
      </c>
      <c r="I21" s="1">
        <f>Table6[[#This Row],[P Units]]-Table6[[#This Row],[S Units]]</f>
        <v>0</v>
      </c>
      <c r="J21" s="1" t="str">
        <f>IFERROR(Table6[[#This Row],[Cost]]*Table6[[#This Row],[Stock]],"")</f>
        <v/>
      </c>
      <c r="K21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2" spans="4:11" x14ac:dyDescent="0.3">
      <c r="D22" s="1" t="str">
        <f>IFERROR(Product_data[[#This Row],[HSN Code]],"")</f>
        <v/>
      </c>
      <c r="E22" s="1" t="str">
        <f>IFERROR(Product_data[[#This Row],[Product Name]],"")</f>
        <v/>
      </c>
      <c r="F22" s="1" t="str">
        <f>IFERROR(Product_data[[#This Row],[Cost]],"")</f>
        <v/>
      </c>
      <c r="G22" s="1">
        <f>SUMIF(purchase_data[Product Name],Table6[[#This Row],[Product Name ]],purchase_data[Units])</f>
        <v>0</v>
      </c>
      <c r="H22" s="1">
        <f>SUMIF(sales_table[Product Name],Table6[[#This Row],[Product Name ]],sales_table[Units])</f>
        <v>0</v>
      </c>
      <c r="I22" s="1">
        <f>Table6[[#This Row],[P Units]]-Table6[[#This Row],[S Units]]</f>
        <v>0</v>
      </c>
      <c r="J22" s="1" t="str">
        <f>IFERROR(Table6[[#This Row],[Cost]]*Table6[[#This Row],[Stock]],"")</f>
        <v/>
      </c>
      <c r="K22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3" spans="4:11" x14ac:dyDescent="0.3">
      <c r="D23" s="1" t="str">
        <f>IFERROR(Product_data[[#This Row],[HSN Code]],"")</f>
        <v/>
      </c>
      <c r="E23" s="1" t="str">
        <f>IFERROR(Product_data[[#This Row],[Product Name]],"")</f>
        <v/>
      </c>
      <c r="F23" s="1" t="str">
        <f>IFERROR(Product_data[[#This Row],[Cost]],"")</f>
        <v/>
      </c>
      <c r="G23" s="1">
        <f>SUMIF(purchase_data[Product Name],Table6[[#This Row],[Product Name ]],purchase_data[Units])</f>
        <v>0</v>
      </c>
      <c r="H23" s="1">
        <f>SUMIF(sales_table[Product Name],Table6[[#This Row],[Product Name ]],sales_table[Units])</f>
        <v>0</v>
      </c>
      <c r="I23" s="1">
        <f>Table6[[#This Row],[P Units]]-Table6[[#This Row],[S Units]]</f>
        <v>0</v>
      </c>
      <c r="J23" s="1" t="str">
        <f>IFERROR(Table6[[#This Row],[Cost]]*Table6[[#This Row],[Stock]],"")</f>
        <v/>
      </c>
      <c r="K23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4" spans="4:11" x14ac:dyDescent="0.3">
      <c r="D24" s="1" t="str">
        <f>IFERROR(Product_data[[#This Row],[HSN Code]],"")</f>
        <v/>
      </c>
      <c r="E24" s="1" t="str">
        <f>IFERROR(Product_data[[#This Row],[Product Name]],"")</f>
        <v/>
      </c>
      <c r="F24" s="1" t="str">
        <f>IFERROR(Product_data[[#This Row],[Cost]],"")</f>
        <v/>
      </c>
      <c r="G24" s="1">
        <f>SUMIF(purchase_data[Product Name],Table6[[#This Row],[Product Name ]],purchase_data[Units])</f>
        <v>0</v>
      </c>
      <c r="H24" s="1">
        <f>SUMIF(sales_table[Product Name],Table6[[#This Row],[Product Name ]],sales_table[Units])</f>
        <v>0</v>
      </c>
      <c r="I24" s="1">
        <f>Table6[[#This Row],[P Units]]-Table6[[#This Row],[S Units]]</f>
        <v>0</v>
      </c>
      <c r="J24" s="1" t="str">
        <f>IFERROR(Table6[[#This Row],[Cost]]*Table6[[#This Row],[Stock]],"")</f>
        <v/>
      </c>
      <c r="K24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5" spans="4:11" x14ac:dyDescent="0.3">
      <c r="D25" s="1" t="str">
        <f>IFERROR(Product_data[[#This Row],[HSN Code]],"")</f>
        <v/>
      </c>
      <c r="E25" s="1" t="str">
        <f>IFERROR(Product_data[[#This Row],[Product Name]],"")</f>
        <v/>
      </c>
      <c r="F25" s="1" t="str">
        <f>IFERROR(Product_data[[#This Row],[Cost]],"")</f>
        <v/>
      </c>
      <c r="G25" s="1">
        <f>SUMIF(purchase_data[Product Name],Table6[[#This Row],[Product Name ]],purchase_data[Units])</f>
        <v>0</v>
      </c>
      <c r="H25" s="1">
        <f>SUMIF(sales_table[Product Name],Table6[[#This Row],[Product Name ]],sales_table[Units])</f>
        <v>0</v>
      </c>
      <c r="I25" s="1">
        <f>Table6[[#This Row],[P Units]]-Table6[[#This Row],[S Units]]</f>
        <v>0</v>
      </c>
      <c r="J25" s="1" t="str">
        <f>IFERROR(Table6[[#This Row],[Cost]]*Table6[[#This Row],[Stock]],"")</f>
        <v/>
      </c>
      <c r="K25" s="1" t="str">
        <f>IFERROR(IF(Table6[[#This Row],[Stock]]&lt;5,"📞 "&amp;Table6[[#This Row],[Product Name ]]&amp;" Needs to re-order ! PH "&amp;VLOOKUP(Table6[[#This Row],[HSN Code ]],Vendorsd_data[#All],4,0),""),"")</f>
        <v/>
      </c>
    </row>
    <row r="26" spans="4:11" x14ac:dyDescent="0.3">
      <c r="D26" s="1" t="str">
        <f>IFERROR(Product_data[[#This Row],[HSN Code]],"")</f>
        <v/>
      </c>
      <c r="E26" s="1" t="str">
        <f>IFERROR(Product_data[[#This Row],[Product Name]],"")</f>
        <v/>
      </c>
      <c r="F26" s="1" t="str">
        <f>IFERROR(Product_data[[#This Row],[Cost]],"")</f>
        <v/>
      </c>
    </row>
    <row r="27" spans="4:11" x14ac:dyDescent="0.3">
      <c r="D27" s="1" t="str">
        <f>IFERROR(Product_data[[#This Row],[HSN Code]],"")</f>
        <v/>
      </c>
      <c r="E27" s="1" t="str">
        <f>IFERROR(Product_data[[#This Row],[Product Name]],"")</f>
        <v/>
      </c>
      <c r="F27" s="1" t="str">
        <f>IFERROR(Product_data[[#This Row],[Cost]],"")</f>
        <v/>
      </c>
    </row>
  </sheetData>
  <pageMargins left="0.7" right="0.7" top="0.75" bottom="0.75" header="0.3" footer="0.3"/>
  <ignoredErrors>
    <ignoredError sqref="E8:E9 F8:F17 E10:E17 I15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C4F21-BC39-49F3-92E8-2C17E5DD1806}">
  <dimension ref="A3:F33"/>
  <sheetViews>
    <sheetView tabSelected="1" workbookViewId="0">
      <selection activeCell="AE14" sqref="AE14"/>
    </sheetView>
  </sheetViews>
  <sheetFormatPr defaultRowHeight="14.4" x14ac:dyDescent="0.3"/>
  <cols>
    <col min="1" max="1" width="13.88671875" bestFit="1" customWidth="1"/>
    <col min="2" max="2" width="12.109375" bestFit="1" customWidth="1"/>
    <col min="3" max="3" width="14.21875" customWidth="1"/>
    <col min="5" max="5" width="12.5546875" bestFit="1" customWidth="1"/>
    <col min="6" max="6" width="14.44140625" bestFit="1" customWidth="1"/>
  </cols>
  <sheetData>
    <row r="3" spans="1:6" x14ac:dyDescent="0.3">
      <c r="A3" t="s">
        <v>80</v>
      </c>
      <c r="C3" t="s">
        <v>81</v>
      </c>
      <c r="E3" s="9" t="s">
        <v>90</v>
      </c>
      <c r="F3" t="s">
        <v>92</v>
      </c>
    </row>
    <row r="4" spans="1:6" x14ac:dyDescent="0.3">
      <c r="A4">
        <v>7</v>
      </c>
      <c r="C4">
        <f>GETPIVOTDATA("Name",$A$3)</f>
        <v>7</v>
      </c>
      <c r="E4" s="10" t="s">
        <v>41</v>
      </c>
      <c r="F4">
        <v>27</v>
      </c>
    </row>
    <row r="5" spans="1:6" x14ac:dyDescent="0.3">
      <c r="E5" s="10" t="s">
        <v>42</v>
      </c>
      <c r="F5">
        <v>24</v>
      </c>
    </row>
    <row r="6" spans="1:6" x14ac:dyDescent="0.3">
      <c r="E6" s="10" t="s">
        <v>37</v>
      </c>
      <c r="F6">
        <v>18</v>
      </c>
    </row>
    <row r="7" spans="1:6" x14ac:dyDescent="0.3">
      <c r="A7" t="s">
        <v>82</v>
      </c>
      <c r="C7" t="s">
        <v>83</v>
      </c>
      <c r="E7" s="10" t="s">
        <v>40</v>
      </c>
      <c r="F7">
        <v>11</v>
      </c>
    </row>
    <row r="8" spans="1:6" x14ac:dyDescent="0.3">
      <c r="A8">
        <v>10</v>
      </c>
      <c r="C8">
        <f>GETPIVOTDATA("Product Name",$A$7)</f>
        <v>10</v>
      </c>
      <c r="E8" s="10" t="s">
        <v>44</v>
      </c>
      <c r="F8">
        <v>5</v>
      </c>
    </row>
    <row r="9" spans="1:6" x14ac:dyDescent="0.3">
      <c r="E9" s="10" t="s">
        <v>38</v>
      </c>
      <c r="F9">
        <v>5</v>
      </c>
    </row>
    <row r="10" spans="1:6" x14ac:dyDescent="0.3">
      <c r="A10" t="s">
        <v>84</v>
      </c>
      <c r="C10" t="s">
        <v>87</v>
      </c>
      <c r="E10" s="10" t="s">
        <v>91</v>
      </c>
      <c r="F10">
        <v>90</v>
      </c>
    </row>
    <row r="11" spans="1:6" x14ac:dyDescent="0.3">
      <c r="A11">
        <v>9846600</v>
      </c>
      <c r="C11" s="8">
        <f>GETPIVOTDATA("Amount",$A$10)</f>
        <v>9846600</v>
      </c>
    </row>
    <row r="13" spans="1:6" x14ac:dyDescent="0.3">
      <c r="A13" t="s">
        <v>84</v>
      </c>
      <c r="C13" t="s">
        <v>88</v>
      </c>
      <c r="E13" s="9" t="s">
        <v>90</v>
      </c>
      <c r="F13" t="s">
        <v>84</v>
      </c>
    </row>
    <row r="14" spans="1:6" x14ac:dyDescent="0.3">
      <c r="A14">
        <v>1844244</v>
      </c>
      <c r="C14" s="8">
        <f>GETPIVOTDATA("Amount",$A$13)</f>
        <v>1844244</v>
      </c>
      <c r="E14" s="10" t="s">
        <v>5</v>
      </c>
      <c r="F14">
        <v>700620</v>
      </c>
    </row>
    <row r="15" spans="1:6" x14ac:dyDescent="0.3">
      <c r="E15" s="10" t="s">
        <v>4</v>
      </c>
      <c r="F15">
        <v>549600</v>
      </c>
    </row>
    <row r="16" spans="1:6" x14ac:dyDescent="0.3">
      <c r="A16" t="s">
        <v>85</v>
      </c>
      <c r="C16" t="s">
        <v>89</v>
      </c>
      <c r="E16" s="10" t="s">
        <v>9</v>
      </c>
      <c r="F16">
        <v>362400</v>
      </c>
    </row>
    <row r="17" spans="1:6" x14ac:dyDescent="0.3">
      <c r="A17">
        <v>8309730</v>
      </c>
      <c r="C17" s="8">
        <f>GETPIVOTDATA("Stock Amount",$A$16)</f>
        <v>8309730</v>
      </c>
      <c r="E17" s="10" t="s">
        <v>6</v>
      </c>
      <c r="F17">
        <v>124200</v>
      </c>
    </row>
    <row r="18" spans="1:6" x14ac:dyDescent="0.3">
      <c r="E18" s="10" t="s">
        <v>7</v>
      </c>
      <c r="F18">
        <v>92208</v>
      </c>
    </row>
    <row r="19" spans="1:6" x14ac:dyDescent="0.3">
      <c r="E19" s="10" t="s">
        <v>91</v>
      </c>
      <c r="F19">
        <v>1829028</v>
      </c>
    </row>
    <row r="20" spans="1:6" x14ac:dyDescent="0.3">
      <c r="C20" t="s">
        <v>86</v>
      </c>
    </row>
    <row r="21" spans="1:6" x14ac:dyDescent="0.3">
      <c r="C21" s="8">
        <f>C17+C14-C11</f>
        <v>307374</v>
      </c>
    </row>
    <row r="22" spans="1:6" x14ac:dyDescent="0.3">
      <c r="A22" s="9" t="s">
        <v>90</v>
      </c>
      <c r="B22" t="s">
        <v>95</v>
      </c>
    </row>
    <row r="23" spans="1:6" x14ac:dyDescent="0.3">
      <c r="A23" s="10" t="s">
        <v>42</v>
      </c>
      <c r="B23">
        <v>26</v>
      </c>
    </row>
    <row r="24" spans="1:6" x14ac:dyDescent="0.3">
      <c r="A24" s="10" t="s">
        <v>39</v>
      </c>
      <c r="B24">
        <v>206</v>
      </c>
    </row>
    <row r="25" spans="1:6" x14ac:dyDescent="0.3">
      <c r="A25" s="10" t="s">
        <v>43</v>
      </c>
      <c r="B25">
        <v>0</v>
      </c>
    </row>
    <row r="26" spans="1:6" x14ac:dyDescent="0.3">
      <c r="A26" s="10" t="s">
        <v>38</v>
      </c>
      <c r="B26">
        <v>59</v>
      </c>
    </row>
    <row r="27" spans="1:6" x14ac:dyDescent="0.3">
      <c r="A27" s="10" t="s">
        <v>40</v>
      </c>
      <c r="B27">
        <v>46</v>
      </c>
    </row>
    <row r="28" spans="1:6" x14ac:dyDescent="0.3">
      <c r="A28" s="10" t="s">
        <v>41</v>
      </c>
      <c r="B28">
        <v>27</v>
      </c>
    </row>
    <row r="29" spans="1:6" x14ac:dyDescent="0.3">
      <c r="A29" s="10" t="s">
        <v>37</v>
      </c>
      <c r="B29">
        <v>5</v>
      </c>
    </row>
    <row r="30" spans="1:6" x14ac:dyDescent="0.3">
      <c r="A30" s="10" t="s">
        <v>44</v>
      </c>
      <c r="B30">
        <v>85</v>
      </c>
    </row>
    <row r="31" spans="1:6" x14ac:dyDescent="0.3">
      <c r="A31" s="10" t="s">
        <v>45</v>
      </c>
      <c r="B31">
        <v>20</v>
      </c>
    </row>
    <row r="32" spans="1:6" x14ac:dyDescent="0.3">
      <c r="A32" s="10" t="s">
        <v>48</v>
      </c>
      <c r="B32">
        <v>10</v>
      </c>
    </row>
    <row r="33" spans="1:2" x14ac:dyDescent="0.3">
      <c r="A33" s="10" t="s">
        <v>91</v>
      </c>
      <c r="B33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Dashboard</vt:lpstr>
      <vt:lpstr>Customers</vt:lpstr>
      <vt:lpstr>Vendors</vt:lpstr>
      <vt:lpstr>Products</vt:lpstr>
      <vt:lpstr>New Entry</vt:lpstr>
      <vt:lpstr>Purchase</vt:lpstr>
      <vt:lpstr>Sales</vt:lpstr>
      <vt:lpstr>Inventory</vt:lpstr>
      <vt:lpstr>Pivots</vt:lpstr>
      <vt:lpstr>Cust_ID</vt:lpstr>
      <vt:lpstr>hsncode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gunjali rewatkar</dc:creator>
  <cp:lastModifiedBy>gunjali rewatkar</cp:lastModifiedBy>
  <dcterms:created xsi:type="dcterms:W3CDTF">2026-06-18T12:37:01Z</dcterms:created>
  <dcterms:modified xsi:type="dcterms:W3CDTF">2026-06-28T13:24:03Z</dcterms:modified>
</cp:coreProperties>
</file>